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ST-ASIST1\Downloads\FORMULARIOS CARGAS FAMILIARES\"/>
    </mc:Choice>
  </mc:AlternateContent>
  <xr:revisionPtr revIDLastSave="0" documentId="13_ncr:1_{CA557545-9B5B-4E5E-8373-D72473AF2CE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NFIGURACION" sheetId="1" r:id="rId1"/>
    <sheet name="PROYECTOS" sheetId="2" r:id="rId2"/>
    <sheet name="ACTIVIDADES" sheetId="3" r:id="rId3"/>
    <sheet name="EDT" sheetId="4" r:id="rId4"/>
    <sheet name="CALENDARIO" sheetId="5" r:id="rId5"/>
    <sheet name="TABLERO" sheetId="6" r:id="rId6"/>
  </sheets>
  <definedNames>
    <definedName name="_xlnm._FilterDatabase" localSheetId="2" hidden="1">ACTIVIDADES!$A$4:$Q$84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B8" i="6"/>
  <c r="G7" i="6"/>
  <c r="F7" i="6"/>
  <c r="E7" i="6"/>
  <c r="B7" i="6"/>
  <c r="G6" i="6"/>
  <c r="F6" i="6"/>
  <c r="E6" i="6"/>
  <c r="B6" i="6"/>
  <c r="G5" i="6"/>
  <c r="F5" i="6"/>
  <c r="E5" i="6"/>
  <c r="B5" i="6"/>
  <c r="AJ84" i="5"/>
  <c r="D84" i="5"/>
  <c r="C84" i="5"/>
  <c r="B84" i="5"/>
  <c r="A84" i="5"/>
  <c r="AJ83" i="5"/>
  <c r="D83" i="5"/>
  <c r="C83" i="5"/>
  <c r="B83" i="5"/>
  <c r="A83" i="5"/>
  <c r="AJ82" i="5"/>
  <c r="D82" i="5"/>
  <c r="C82" i="5"/>
  <c r="B82" i="5"/>
  <c r="A82" i="5"/>
  <c r="AJ81" i="5"/>
  <c r="D81" i="5"/>
  <c r="C81" i="5"/>
  <c r="B81" i="5"/>
  <c r="A81" i="5"/>
  <c r="AJ80" i="5"/>
  <c r="D80" i="5"/>
  <c r="C80" i="5"/>
  <c r="B80" i="5"/>
  <c r="A80" i="5"/>
  <c r="AJ79" i="5"/>
  <c r="D79" i="5"/>
  <c r="C79" i="5"/>
  <c r="B79" i="5"/>
  <c r="A79" i="5"/>
  <c r="AJ78" i="5"/>
  <c r="D78" i="5"/>
  <c r="C78" i="5"/>
  <c r="B78" i="5"/>
  <c r="A78" i="5"/>
  <c r="AJ77" i="5"/>
  <c r="D77" i="5"/>
  <c r="C77" i="5"/>
  <c r="B77" i="5"/>
  <c r="A77" i="5"/>
  <c r="AJ76" i="5"/>
  <c r="D76" i="5"/>
  <c r="C76" i="5"/>
  <c r="B76" i="5"/>
  <c r="A76" i="5"/>
  <c r="AJ75" i="5"/>
  <c r="D75" i="5"/>
  <c r="C75" i="5"/>
  <c r="B75" i="5"/>
  <c r="A75" i="5"/>
  <c r="AJ74" i="5"/>
  <c r="D74" i="5"/>
  <c r="C74" i="5"/>
  <c r="B74" i="5"/>
  <c r="A74" i="5"/>
  <c r="AJ73" i="5"/>
  <c r="D73" i="5"/>
  <c r="C73" i="5"/>
  <c r="B73" i="5"/>
  <c r="A73" i="5"/>
  <c r="AJ72" i="5"/>
  <c r="D72" i="5"/>
  <c r="C72" i="5"/>
  <c r="B72" i="5"/>
  <c r="A72" i="5"/>
  <c r="AJ71" i="5"/>
  <c r="D71" i="5"/>
  <c r="C71" i="5"/>
  <c r="B71" i="5"/>
  <c r="A71" i="5"/>
  <c r="AJ70" i="5"/>
  <c r="D70" i="5"/>
  <c r="C70" i="5"/>
  <c r="B70" i="5"/>
  <c r="A70" i="5"/>
  <c r="AJ69" i="5"/>
  <c r="D69" i="5"/>
  <c r="C69" i="5"/>
  <c r="B69" i="5"/>
  <c r="A69" i="5"/>
  <c r="AJ68" i="5"/>
  <c r="D68" i="5"/>
  <c r="C68" i="5"/>
  <c r="B68" i="5"/>
  <c r="A68" i="5"/>
  <c r="AJ67" i="5"/>
  <c r="D67" i="5"/>
  <c r="C67" i="5"/>
  <c r="B67" i="5"/>
  <c r="A67" i="5"/>
  <c r="AJ66" i="5"/>
  <c r="D66" i="5"/>
  <c r="C66" i="5"/>
  <c r="B66" i="5"/>
  <c r="A66" i="5"/>
  <c r="AJ65" i="5"/>
  <c r="D65" i="5"/>
  <c r="C65" i="5"/>
  <c r="B65" i="5"/>
  <c r="A65" i="5"/>
  <c r="AJ64" i="5"/>
  <c r="D64" i="5"/>
  <c r="C64" i="5"/>
  <c r="B64" i="5"/>
  <c r="A64" i="5"/>
  <c r="AJ63" i="5"/>
  <c r="D63" i="5"/>
  <c r="C63" i="5"/>
  <c r="B63" i="5"/>
  <c r="A63" i="5"/>
  <c r="AJ62" i="5"/>
  <c r="D62" i="5"/>
  <c r="C62" i="5"/>
  <c r="B62" i="5"/>
  <c r="A62" i="5"/>
  <c r="AJ61" i="5"/>
  <c r="D61" i="5"/>
  <c r="C61" i="5"/>
  <c r="B61" i="5"/>
  <c r="A61" i="5"/>
  <c r="AJ60" i="5"/>
  <c r="D60" i="5"/>
  <c r="C60" i="5"/>
  <c r="B60" i="5"/>
  <c r="A60" i="5"/>
  <c r="AJ59" i="5"/>
  <c r="D59" i="5"/>
  <c r="C59" i="5"/>
  <c r="B59" i="5"/>
  <c r="A59" i="5"/>
  <c r="AJ58" i="5"/>
  <c r="D58" i="5"/>
  <c r="C58" i="5"/>
  <c r="B58" i="5"/>
  <c r="A58" i="5"/>
  <c r="AJ57" i="5"/>
  <c r="D57" i="5"/>
  <c r="C57" i="5"/>
  <c r="B57" i="5"/>
  <c r="A57" i="5"/>
  <c r="AJ56" i="5"/>
  <c r="D56" i="5"/>
  <c r="C56" i="5"/>
  <c r="B56" i="5"/>
  <c r="A56" i="5"/>
  <c r="AJ55" i="5"/>
  <c r="D55" i="5"/>
  <c r="C55" i="5"/>
  <c r="B55" i="5"/>
  <c r="A55" i="5"/>
  <c r="AJ54" i="5"/>
  <c r="D54" i="5"/>
  <c r="C54" i="5"/>
  <c r="B54" i="5"/>
  <c r="A54" i="5"/>
  <c r="AJ53" i="5"/>
  <c r="D53" i="5"/>
  <c r="C53" i="5"/>
  <c r="B53" i="5"/>
  <c r="A53" i="5"/>
  <c r="AJ52" i="5"/>
  <c r="D52" i="5"/>
  <c r="C52" i="5"/>
  <c r="B52" i="5"/>
  <c r="A52" i="5"/>
  <c r="AJ51" i="5"/>
  <c r="D51" i="5"/>
  <c r="C51" i="5"/>
  <c r="B51" i="5"/>
  <c r="A51" i="5"/>
  <c r="AJ50" i="5"/>
  <c r="D50" i="5"/>
  <c r="C50" i="5"/>
  <c r="B50" i="5"/>
  <c r="A50" i="5"/>
  <c r="AJ49" i="5"/>
  <c r="D49" i="5"/>
  <c r="C49" i="5"/>
  <c r="B49" i="5"/>
  <c r="A49" i="5"/>
  <c r="AJ48" i="5"/>
  <c r="D48" i="5"/>
  <c r="C48" i="5"/>
  <c r="B48" i="5"/>
  <c r="A48" i="5"/>
  <c r="AJ47" i="5"/>
  <c r="D47" i="5"/>
  <c r="C47" i="5"/>
  <c r="B47" i="5"/>
  <c r="A47" i="5"/>
  <c r="AJ46" i="5"/>
  <c r="D46" i="5"/>
  <c r="C46" i="5"/>
  <c r="B46" i="5"/>
  <c r="A46" i="5"/>
  <c r="AJ45" i="5"/>
  <c r="D45" i="5"/>
  <c r="C45" i="5"/>
  <c r="B45" i="5"/>
  <c r="A45" i="5"/>
  <c r="AJ44" i="5"/>
  <c r="D44" i="5"/>
  <c r="C44" i="5"/>
  <c r="B44" i="5"/>
  <c r="A44" i="5"/>
  <c r="AJ43" i="5"/>
  <c r="D43" i="5"/>
  <c r="C43" i="5"/>
  <c r="B43" i="5"/>
  <c r="A43" i="5"/>
  <c r="AJ42" i="5"/>
  <c r="D42" i="5"/>
  <c r="C42" i="5"/>
  <c r="B42" i="5"/>
  <c r="A42" i="5"/>
  <c r="AJ41" i="5"/>
  <c r="D41" i="5"/>
  <c r="C41" i="5"/>
  <c r="B41" i="5"/>
  <c r="A41" i="5"/>
  <c r="AJ40" i="5"/>
  <c r="D40" i="5"/>
  <c r="C40" i="5"/>
  <c r="B40" i="5"/>
  <c r="A40" i="5"/>
  <c r="AJ39" i="5"/>
  <c r="D39" i="5"/>
  <c r="C39" i="5"/>
  <c r="B39" i="5"/>
  <c r="A39" i="5"/>
  <c r="AJ38" i="5"/>
  <c r="D38" i="5"/>
  <c r="C38" i="5"/>
  <c r="B38" i="5"/>
  <c r="A38" i="5"/>
  <c r="AJ37" i="5"/>
  <c r="D37" i="5"/>
  <c r="C37" i="5"/>
  <c r="B37" i="5"/>
  <c r="A37" i="5"/>
  <c r="AJ36" i="5"/>
  <c r="D36" i="5"/>
  <c r="C36" i="5"/>
  <c r="B36" i="5"/>
  <c r="A36" i="5"/>
  <c r="AJ35" i="5"/>
  <c r="D35" i="5"/>
  <c r="C35" i="5"/>
  <c r="B35" i="5"/>
  <c r="A35" i="5"/>
  <c r="AJ34" i="5"/>
  <c r="D34" i="5"/>
  <c r="C34" i="5"/>
  <c r="B34" i="5"/>
  <c r="A34" i="5"/>
  <c r="AJ33" i="5"/>
  <c r="D33" i="5"/>
  <c r="C33" i="5"/>
  <c r="B33" i="5"/>
  <c r="A33" i="5"/>
  <c r="AJ32" i="5"/>
  <c r="D32" i="5"/>
  <c r="C32" i="5"/>
  <c r="B32" i="5"/>
  <c r="A32" i="5"/>
  <c r="AJ31" i="5"/>
  <c r="D31" i="5"/>
  <c r="C31" i="5"/>
  <c r="B31" i="5"/>
  <c r="A31" i="5"/>
  <c r="AJ30" i="5"/>
  <c r="D30" i="5"/>
  <c r="C30" i="5"/>
  <c r="B30" i="5"/>
  <c r="A30" i="5"/>
  <c r="AJ29" i="5"/>
  <c r="D29" i="5"/>
  <c r="C29" i="5"/>
  <c r="B29" i="5"/>
  <c r="A29" i="5"/>
  <c r="AJ28" i="5"/>
  <c r="D28" i="5"/>
  <c r="C28" i="5"/>
  <c r="B28" i="5"/>
  <c r="A28" i="5"/>
  <c r="AJ27" i="5"/>
  <c r="D27" i="5"/>
  <c r="C27" i="5"/>
  <c r="B27" i="5"/>
  <c r="A27" i="5"/>
  <c r="AJ26" i="5"/>
  <c r="D26" i="5"/>
  <c r="C26" i="5"/>
  <c r="B26" i="5"/>
  <c r="A26" i="5"/>
  <c r="AJ25" i="5"/>
  <c r="D25" i="5"/>
  <c r="C25" i="5"/>
  <c r="B25" i="5"/>
  <c r="A25" i="5"/>
  <c r="AJ24" i="5"/>
  <c r="D24" i="5"/>
  <c r="C24" i="5"/>
  <c r="B24" i="5"/>
  <c r="A24" i="5"/>
  <c r="AJ23" i="5"/>
  <c r="D23" i="5"/>
  <c r="C23" i="5"/>
  <c r="B23" i="5"/>
  <c r="A23" i="5"/>
  <c r="AJ22" i="5"/>
  <c r="D22" i="5"/>
  <c r="C22" i="5"/>
  <c r="B22" i="5"/>
  <c r="A22" i="5"/>
  <c r="AJ21" i="5"/>
  <c r="D21" i="5"/>
  <c r="C21" i="5"/>
  <c r="B21" i="5"/>
  <c r="A21" i="5"/>
  <c r="AJ20" i="5"/>
  <c r="D20" i="5"/>
  <c r="C20" i="5"/>
  <c r="B20" i="5"/>
  <c r="A20" i="5"/>
  <c r="AJ19" i="5"/>
  <c r="D19" i="5"/>
  <c r="C19" i="5"/>
  <c r="B19" i="5"/>
  <c r="A19" i="5"/>
  <c r="AJ18" i="5"/>
  <c r="D18" i="5"/>
  <c r="C18" i="5"/>
  <c r="B18" i="5"/>
  <c r="A18" i="5"/>
  <c r="AJ17" i="5"/>
  <c r="D17" i="5"/>
  <c r="C17" i="5"/>
  <c r="B17" i="5"/>
  <c r="A17" i="5"/>
  <c r="AJ16" i="5"/>
  <c r="D16" i="5"/>
  <c r="C16" i="5"/>
  <c r="B16" i="5"/>
  <c r="A16" i="5"/>
  <c r="AJ15" i="5"/>
  <c r="D15" i="5"/>
  <c r="C15" i="5"/>
  <c r="B15" i="5"/>
  <c r="A15" i="5"/>
  <c r="AJ14" i="5"/>
  <c r="D14" i="5"/>
  <c r="C14" i="5"/>
  <c r="B14" i="5"/>
  <c r="A14" i="5"/>
  <c r="AJ13" i="5"/>
  <c r="D13" i="5"/>
  <c r="C13" i="5"/>
  <c r="B13" i="5"/>
  <c r="A13" i="5"/>
  <c r="AJ12" i="5"/>
  <c r="D12" i="5"/>
  <c r="C12" i="5"/>
  <c r="B12" i="5"/>
  <c r="A12" i="5"/>
  <c r="AJ11" i="5"/>
  <c r="D11" i="5"/>
  <c r="C11" i="5"/>
  <c r="B11" i="5"/>
  <c r="A11" i="5"/>
  <c r="AJ10" i="5"/>
  <c r="D10" i="5"/>
  <c r="C10" i="5"/>
  <c r="B10" i="5"/>
  <c r="A10" i="5"/>
  <c r="AJ9" i="5"/>
  <c r="D9" i="5"/>
  <c r="C9" i="5"/>
  <c r="B9" i="5"/>
  <c r="A9" i="5"/>
  <c r="AJ8" i="5"/>
  <c r="D8" i="5"/>
  <c r="C8" i="5"/>
  <c r="B8" i="5"/>
  <c r="A8" i="5"/>
  <c r="AJ7" i="5"/>
  <c r="D7" i="5"/>
  <c r="C7" i="5"/>
  <c r="B7" i="5"/>
  <c r="A7" i="5"/>
  <c r="AJ6" i="5"/>
  <c r="D6" i="5"/>
  <c r="C6" i="5"/>
  <c r="B6" i="5"/>
  <c r="A6" i="5"/>
  <c r="AJ5" i="5"/>
  <c r="D5" i="5"/>
  <c r="C5" i="5"/>
  <c r="B5" i="5"/>
  <c r="A5" i="5"/>
  <c r="L84" i="4"/>
  <c r="J84" i="4"/>
  <c r="I84" i="4"/>
  <c r="E84" i="4"/>
  <c r="D84" i="4"/>
  <c r="C84" i="4"/>
  <c r="B84" i="4"/>
  <c r="A84" i="4"/>
  <c r="L83" i="4"/>
  <c r="J83" i="4"/>
  <c r="I83" i="4"/>
  <c r="E83" i="4"/>
  <c r="D83" i="4"/>
  <c r="C83" i="4"/>
  <c r="B83" i="4"/>
  <c r="A83" i="4"/>
  <c r="L82" i="4"/>
  <c r="J82" i="4"/>
  <c r="I82" i="4"/>
  <c r="E82" i="4"/>
  <c r="D82" i="4"/>
  <c r="C82" i="4"/>
  <c r="B82" i="4"/>
  <c r="A82" i="4"/>
  <c r="L81" i="4"/>
  <c r="J81" i="4"/>
  <c r="I81" i="4"/>
  <c r="E81" i="4"/>
  <c r="D81" i="4"/>
  <c r="C81" i="4"/>
  <c r="B81" i="4"/>
  <c r="A81" i="4"/>
  <c r="L80" i="4"/>
  <c r="J80" i="4"/>
  <c r="I80" i="4"/>
  <c r="E80" i="4"/>
  <c r="D80" i="4"/>
  <c r="C80" i="4"/>
  <c r="B80" i="4"/>
  <c r="A80" i="4"/>
  <c r="L79" i="4"/>
  <c r="J79" i="4"/>
  <c r="I79" i="4"/>
  <c r="E79" i="4"/>
  <c r="D79" i="4"/>
  <c r="C79" i="4"/>
  <c r="B79" i="4"/>
  <c r="A79" i="4"/>
  <c r="L78" i="4"/>
  <c r="J78" i="4"/>
  <c r="I78" i="4"/>
  <c r="E78" i="4"/>
  <c r="D78" i="4"/>
  <c r="C78" i="4"/>
  <c r="B78" i="4"/>
  <c r="A78" i="4"/>
  <c r="L77" i="4"/>
  <c r="J77" i="4"/>
  <c r="I77" i="4"/>
  <c r="E77" i="4"/>
  <c r="D77" i="4"/>
  <c r="C77" i="4"/>
  <c r="B77" i="4"/>
  <c r="A77" i="4"/>
  <c r="L76" i="4"/>
  <c r="J76" i="4"/>
  <c r="I76" i="4"/>
  <c r="E76" i="4"/>
  <c r="D76" i="4"/>
  <c r="C76" i="4"/>
  <c r="B76" i="4"/>
  <c r="A76" i="4"/>
  <c r="L75" i="4"/>
  <c r="J75" i="4"/>
  <c r="I75" i="4"/>
  <c r="E75" i="4"/>
  <c r="D75" i="4"/>
  <c r="C75" i="4"/>
  <c r="B75" i="4"/>
  <c r="A75" i="4"/>
  <c r="L74" i="4"/>
  <c r="J74" i="4"/>
  <c r="I74" i="4"/>
  <c r="E74" i="4"/>
  <c r="D74" i="4"/>
  <c r="C74" i="4"/>
  <c r="B74" i="4"/>
  <c r="A74" i="4"/>
  <c r="L73" i="4"/>
  <c r="J73" i="4"/>
  <c r="I73" i="4"/>
  <c r="E73" i="4"/>
  <c r="D73" i="4"/>
  <c r="C73" i="4"/>
  <c r="B73" i="4"/>
  <c r="A73" i="4"/>
  <c r="L72" i="4"/>
  <c r="J72" i="4"/>
  <c r="I72" i="4"/>
  <c r="E72" i="4"/>
  <c r="D72" i="4"/>
  <c r="C72" i="4"/>
  <c r="B72" i="4"/>
  <c r="A72" i="4"/>
  <c r="L71" i="4"/>
  <c r="J71" i="4"/>
  <c r="I71" i="4"/>
  <c r="E71" i="4"/>
  <c r="D71" i="4"/>
  <c r="C71" i="4"/>
  <c r="B71" i="4"/>
  <c r="A71" i="4"/>
  <c r="L70" i="4"/>
  <c r="J70" i="4"/>
  <c r="I70" i="4"/>
  <c r="E70" i="4"/>
  <c r="D70" i="4"/>
  <c r="C70" i="4"/>
  <c r="B70" i="4"/>
  <c r="A70" i="4"/>
  <c r="L69" i="4"/>
  <c r="J69" i="4"/>
  <c r="I69" i="4"/>
  <c r="E69" i="4"/>
  <c r="D69" i="4"/>
  <c r="C69" i="4"/>
  <c r="B69" i="4"/>
  <c r="A69" i="4"/>
  <c r="L68" i="4"/>
  <c r="J68" i="4"/>
  <c r="I68" i="4"/>
  <c r="E68" i="4"/>
  <c r="D68" i="4"/>
  <c r="C68" i="4"/>
  <c r="B68" i="4"/>
  <c r="A68" i="4"/>
  <c r="L67" i="4"/>
  <c r="J67" i="4"/>
  <c r="I67" i="4"/>
  <c r="E67" i="4"/>
  <c r="D67" i="4"/>
  <c r="C67" i="4"/>
  <c r="B67" i="4"/>
  <c r="A67" i="4"/>
  <c r="L66" i="4"/>
  <c r="J66" i="4"/>
  <c r="I66" i="4"/>
  <c r="E66" i="4"/>
  <c r="D66" i="4"/>
  <c r="C66" i="4"/>
  <c r="B66" i="4"/>
  <c r="A66" i="4"/>
  <c r="L65" i="4"/>
  <c r="J65" i="4"/>
  <c r="I65" i="4"/>
  <c r="E65" i="4"/>
  <c r="D65" i="4"/>
  <c r="C65" i="4"/>
  <c r="B65" i="4"/>
  <c r="A65" i="4"/>
  <c r="L64" i="4"/>
  <c r="J64" i="4"/>
  <c r="I64" i="4"/>
  <c r="E64" i="4"/>
  <c r="D64" i="4"/>
  <c r="C64" i="4"/>
  <c r="B64" i="4"/>
  <c r="A64" i="4"/>
  <c r="L63" i="4"/>
  <c r="J63" i="4"/>
  <c r="I63" i="4"/>
  <c r="E63" i="4"/>
  <c r="D63" i="4"/>
  <c r="C63" i="4"/>
  <c r="B63" i="4"/>
  <c r="A63" i="4"/>
  <c r="L62" i="4"/>
  <c r="J62" i="4"/>
  <c r="I62" i="4"/>
  <c r="E62" i="4"/>
  <c r="D62" i="4"/>
  <c r="C62" i="4"/>
  <c r="B62" i="4"/>
  <c r="A62" i="4"/>
  <c r="L61" i="4"/>
  <c r="J61" i="4"/>
  <c r="I61" i="4"/>
  <c r="E61" i="4"/>
  <c r="D61" i="4"/>
  <c r="C61" i="4"/>
  <c r="B61" i="4"/>
  <c r="A61" i="4"/>
  <c r="L60" i="4"/>
  <c r="J60" i="4"/>
  <c r="I60" i="4"/>
  <c r="E60" i="4"/>
  <c r="D60" i="4"/>
  <c r="C60" i="4"/>
  <c r="B60" i="4"/>
  <c r="A60" i="4"/>
  <c r="L59" i="4"/>
  <c r="J59" i="4"/>
  <c r="I59" i="4"/>
  <c r="E59" i="4"/>
  <c r="D59" i="4"/>
  <c r="C59" i="4"/>
  <c r="B59" i="4"/>
  <c r="A59" i="4"/>
  <c r="L58" i="4"/>
  <c r="J58" i="4"/>
  <c r="I58" i="4"/>
  <c r="E58" i="4"/>
  <c r="D58" i="4"/>
  <c r="C58" i="4"/>
  <c r="B58" i="4"/>
  <c r="A58" i="4"/>
  <c r="L57" i="4"/>
  <c r="J57" i="4"/>
  <c r="I57" i="4"/>
  <c r="E57" i="4"/>
  <c r="D57" i="4"/>
  <c r="C57" i="4"/>
  <c r="B57" i="4"/>
  <c r="A57" i="4"/>
  <c r="L56" i="4"/>
  <c r="J56" i="4"/>
  <c r="I56" i="4"/>
  <c r="E56" i="4"/>
  <c r="D56" i="4"/>
  <c r="C56" i="4"/>
  <c r="B56" i="4"/>
  <c r="A56" i="4"/>
  <c r="L55" i="4"/>
  <c r="J55" i="4"/>
  <c r="I55" i="4"/>
  <c r="E55" i="4"/>
  <c r="D55" i="4"/>
  <c r="C55" i="4"/>
  <c r="B55" i="4"/>
  <c r="A55" i="4"/>
  <c r="L54" i="4"/>
  <c r="J54" i="4"/>
  <c r="I54" i="4"/>
  <c r="E54" i="4"/>
  <c r="D54" i="4"/>
  <c r="C54" i="4"/>
  <c r="B54" i="4"/>
  <c r="A54" i="4"/>
  <c r="L53" i="4"/>
  <c r="J53" i="4"/>
  <c r="I53" i="4"/>
  <c r="E53" i="4"/>
  <c r="D53" i="4"/>
  <c r="C53" i="4"/>
  <c r="B53" i="4"/>
  <c r="A53" i="4"/>
  <c r="L52" i="4"/>
  <c r="J52" i="4"/>
  <c r="I52" i="4"/>
  <c r="E52" i="4"/>
  <c r="D52" i="4"/>
  <c r="C52" i="4"/>
  <c r="B52" i="4"/>
  <c r="A52" i="4"/>
  <c r="L51" i="4"/>
  <c r="J51" i="4"/>
  <c r="I51" i="4"/>
  <c r="E51" i="4"/>
  <c r="D51" i="4"/>
  <c r="C51" i="4"/>
  <c r="B51" i="4"/>
  <c r="A51" i="4"/>
  <c r="L50" i="4"/>
  <c r="J50" i="4"/>
  <c r="I50" i="4"/>
  <c r="E50" i="4"/>
  <c r="D50" i="4"/>
  <c r="C50" i="4"/>
  <c r="B50" i="4"/>
  <c r="A50" i="4"/>
  <c r="L49" i="4"/>
  <c r="J49" i="4"/>
  <c r="I49" i="4"/>
  <c r="E49" i="4"/>
  <c r="D49" i="4"/>
  <c r="C49" i="4"/>
  <c r="B49" i="4"/>
  <c r="A49" i="4"/>
  <c r="L48" i="4"/>
  <c r="J48" i="4"/>
  <c r="I48" i="4"/>
  <c r="E48" i="4"/>
  <c r="D48" i="4"/>
  <c r="C48" i="4"/>
  <c r="B48" i="4"/>
  <c r="A48" i="4"/>
  <c r="L47" i="4"/>
  <c r="J47" i="4"/>
  <c r="I47" i="4"/>
  <c r="E47" i="4"/>
  <c r="D47" i="4"/>
  <c r="C47" i="4"/>
  <c r="B47" i="4"/>
  <c r="A47" i="4"/>
  <c r="L46" i="4"/>
  <c r="J46" i="4"/>
  <c r="I46" i="4"/>
  <c r="E46" i="4"/>
  <c r="D46" i="4"/>
  <c r="C46" i="4"/>
  <c r="B46" i="4"/>
  <c r="A46" i="4"/>
  <c r="L45" i="4"/>
  <c r="J45" i="4"/>
  <c r="I45" i="4"/>
  <c r="E45" i="4"/>
  <c r="D45" i="4"/>
  <c r="C45" i="4"/>
  <c r="B45" i="4"/>
  <c r="A45" i="4"/>
  <c r="L44" i="4"/>
  <c r="J44" i="4"/>
  <c r="I44" i="4"/>
  <c r="E44" i="4"/>
  <c r="D44" i="4"/>
  <c r="C44" i="4"/>
  <c r="B44" i="4"/>
  <c r="A44" i="4"/>
  <c r="L43" i="4"/>
  <c r="J43" i="4"/>
  <c r="I43" i="4"/>
  <c r="E43" i="4"/>
  <c r="D43" i="4"/>
  <c r="C43" i="4"/>
  <c r="B43" i="4"/>
  <c r="A43" i="4"/>
  <c r="L42" i="4"/>
  <c r="J42" i="4"/>
  <c r="I42" i="4"/>
  <c r="E42" i="4"/>
  <c r="D42" i="4"/>
  <c r="C42" i="4"/>
  <c r="B42" i="4"/>
  <c r="A42" i="4"/>
  <c r="L41" i="4"/>
  <c r="J41" i="4"/>
  <c r="I41" i="4"/>
  <c r="E41" i="4"/>
  <c r="D41" i="4"/>
  <c r="C41" i="4"/>
  <c r="B41" i="4"/>
  <c r="A41" i="4"/>
  <c r="L40" i="4"/>
  <c r="J40" i="4"/>
  <c r="I40" i="4"/>
  <c r="E40" i="4"/>
  <c r="D40" i="4"/>
  <c r="C40" i="4"/>
  <c r="B40" i="4"/>
  <c r="A40" i="4"/>
  <c r="L39" i="4"/>
  <c r="J39" i="4"/>
  <c r="I39" i="4"/>
  <c r="E39" i="4"/>
  <c r="D39" i="4"/>
  <c r="C39" i="4"/>
  <c r="B39" i="4"/>
  <c r="A39" i="4"/>
  <c r="L38" i="4"/>
  <c r="J38" i="4"/>
  <c r="I38" i="4"/>
  <c r="E38" i="4"/>
  <c r="D38" i="4"/>
  <c r="C38" i="4"/>
  <c r="B38" i="4"/>
  <c r="A38" i="4"/>
  <c r="L37" i="4"/>
  <c r="J37" i="4"/>
  <c r="I37" i="4"/>
  <c r="E37" i="4"/>
  <c r="D37" i="4"/>
  <c r="C37" i="4"/>
  <c r="B37" i="4"/>
  <c r="A37" i="4"/>
  <c r="L36" i="4"/>
  <c r="J36" i="4"/>
  <c r="I36" i="4"/>
  <c r="E36" i="4"/>
  <c r="D36" i="4"/>
  <c r="C36" i="4"/>
  <c r="B36" i="4"/>
  <c r="A36" i="4"/>
  <c r="L35" i="4"/>
  <c r="J35" i="4"/>
  <c r="I35" i="4"/>
  <c r="E35" i="4"/>
  <c r="D35" i="4"/>
  <c r="C35" i="4"/>
  <c r="B35" i="4"/>
  <c r="A35" i="4"/>
  <c r="L34" i="4"/>
  <c r="J34" i="4"/>
  <c r="I34" i="4"/>
  <c r="E34" i="4"/>
  <c r="D34" i="4"/>
  <c r="C34" i="4"/>
  <c r="B34" i="4"/>
  <c r="A34" i="4"/>
  <c r="L33" i="4"/>
  <c r="J33" i="4"/>
  <c r="I33" i="4"/>
  <c r="E33" i="4"/>
  <c r="D33" i="4"/>
  <c r="C33" i="4"/>
  <c r="B33" i="4"/>
  <c r="A33" i="4"/>
  <c r="L32" i="4"/>
  <c r="J32" i="4"/>
  <c r="I32" i="4"/>
  <c r="E32" i="4"/>
  <c r="D32" i="4"/>
  <c r="C32" i="4"/>
  <c r="B32" i="4"/>
  <c r="A32" i="4"/>
  <c r="L31" i="4"/>
  <c r="J31" i="4"/>
  <c r="I31" i="4"/>
  <c r="E31" i="4"/>
  <c r="D31" i="4"/>
  <c r="C31" i="4"/>
  <c r="B31" i="4"/>
  <c r="A31" i="4"/>
  <c r="L30" i="4"/>
  <c r="J30" i="4"/>
  <c r="I30" i="4"/>
  <c r="E30" i="4"/>
  <c r="D30" i="4"/>
  <c r="C30" i="4"/>
  <c r="B30" i="4"/>
  <c r="A30" i="4"/>
  <c r="L29" i="4"/>
  <c r="J29" i="4"/>
  <c r="I29" i="4"/>
  <c r="E29" i="4"/>
  <c r="D29" i="4"/>
  <c r="C29" i="4"/>
  <c r="B29" i="4"/>
  <c r="A29" i="4"/>
  <c r="L28" i="4"/>
  <c r="J28" i="4"/>
  <c r="I28" i="4"/>
  <c r="E28" i="4"/>
  <c r="D28" i="4"/>
  <c r="C28" i="4"/>
  <c r="B28" i="4"/>
  <c r="A28" i="4"/>
  <c r="L27" i="4"/>
  <c r="J27" i="4"/>
  <c r="I27" i="4"/>
  <c r="E27" i="4"/>
  <c r="D27" i="4"/>
  <c r="C27" i="4"/>
  <c r="B27" i="4"/>
  <c r="A27" i="4"/>
  <c r="L26" i="4"/>
  <c r="J26" i="4"/>
  <c r="I26" i="4"/>
  <c r="E26" i="4"/>
  <c r="D26" i="4"/>
  <c r="C26" i="4"/>
  <c r="B26" i="4"/>
  <c r="A26" i="4"/>
  <c r="L25" i="4"/>
  <c r="J25" i="4"/>
  <c r="I25" i="4"/>
  <c r="E25" i="4"/>
  <c r="D25" i="4"/>
  <c r="C25" i="4"/>
  <c r="B25" i="4"/>
  <c r="A25" i="4"/>
  <c r="L24" i="4"/>
  <c r="J24" i="4"/>
  <c r="I24" i="4"/>
  <c r="E24" i="4"/>
  <c r="D24" i="4"/>
  <c r="C24" i="4"/>
  <c r="B24" i="4"/>
  <c r="A24" i="4"/>
  <c r="L23" i="4"/>
  <c r="J23" i="4"/>
  <c r="I23" i="4"/>
  <c r="E23" i="4"/>
  <c r="D23" i="4"/>
  <c r="C23" i="4"/>
  <c r="B23" i="4"/>
  <c r="A23" i="4"/>
  <c r="L22" i="4"/>
  <c r="J22" i="4"/>
  <c r="I22" i="4"/>
  <c r="E22" i="4"/>
  <c r="D22" i="4"/>
  <c r="C22" i="4"/>
  <c r="B22" i="4"/>
  <c r="A22" i="4"/>
  <c r="L21" i="4"/>
  <c r="J21" i="4"/>
  <c r="I21" i="4"/>
  <c r="E21" i="4"/>
  <c r="D21" i="4"/>
  <c r="C21" i="4"/>
  <c r="B21" i="4"/>
  <c r="A21" i="4"/>
  <c r="L20" i="4"/>
  <c r="J20" i="4"/>
  <c r="I20" i="4"/>
  <c r="E20" i="4"/>
  <c r="D20" i="4"/>
  <c r="C20" i="4"/>
  <c r="B20" i="4"/>
  <c r="A20" i="4"/>
  <c r="L19" i="4"/>
  <c r="J19" i="4"/>
  <c r="I19" i="4"/>
  <c r="E19" i="4"/>
  <c r="D19" i="4"/>
  <c r="C19" i="4"/>
  <c r="B19" i="4"/>
  <c r="A19" i="4"/>
  <c r="L18" i="4"/>
  <c r="J18" i="4"/>
  <c r="I18" i="4"/>
  <c r="E18" i="4"/>
  <c r="D18" i="4"/>
  <c r="C18" i="4"/>
  <c r="B18" i="4"/>
  <c r="A18" i="4"/>
  <c r="L17" i="4"/>
  <c r="J17" i="4"/>
  <c r="I17" i="4"/>
  <c r="E17" i="4"/>
  <c r="D17" i="4"/>
  <c r="C17" i="4"/>
  <c r="B17" i="4"/>
  <c r="A17" i="4"/>
  <c r="L16" i="4"/>
  <c r="J16" i="4"/>
  <c r="I16" i="4"/>
  <c r="E16" i="4"/>
  <c r="D16" i="4"/>
  <c r="C16" i="4"/>
  <c r="B16" i="4"/>
  <c r="A16" i="4"/>
  <c r="L15" i="4"/>
  <c r="J15" i="4"/>
  <c r="I15" i="4"/>
  <c r="E15" i="4"/>
  <c r="D15" i="4"/>
  <c r="C15" i="4"/>
  <c r="B15" i="4"/>
  <c r="A15" i="4"/>
  <c r="L14" i="4"/>
  <c r="J14" i="4"/>
  <c r="I14" i="4"/>
  <c r="E14" i="4"/>
  <c r="D14" i="4"/>
  <c r="C14" i="4"/>
  <c r="B14" i="4"/>
  <c r="A14" i="4"/>
  <c r="L13" i="4"/>
  <c r="J13" i="4"/>
  <c r="I13" i="4"/>
  <c r="E13" i="4"/>
  <c r="D13" i="4"/>
  <c r="C13" i="4"/>
  <c r="B13" i="4"/>
  <c r="A13" i="4"/>
  <c r="L12" i="4"/>
  <c r="J12" i="4"/>
  <c r="I12" i="4"/>
  <c r="E12" i="4"/>
  <c r="D12" i="4"/>
  <c r="C12" i="4"/>
  <c r="B12" i="4"/>
  <c r="A12" i="4"/>
  <c r="L11" i="4"/>
  <c r="J11" i="4"/>
  <c r="I11" i="4"/>
  <c r="E11" i="4"/>
  <c r="D11" i="4"/>
  <c r="C11" i="4"/>
  <c r="B11" i="4"/>
  <c r="A11" i="4"/>
  <c r="L10" i="4"/>
  <c r="J10" i="4"/>
  <c r="I10" i="4"/>
  <c r="E10" i="4"/>
  <c r="D10" i="4"/>
  <c r="C10" i="4"/>
  <c r="B10" i="4"/>
  <c r="A10" i="4"/>
  <c r="L9" i="4"/>
  <c r="J9" i="4"/>
  <c r="I9" i="4"/>
  <c r="E9" i="4"/>
  <c r="D9" i="4"/>
  <c r="C9" i="4"/>
  <c r="B9" i="4"/>
  <c r="A9" i="4"/>
  <c r="L8" i="4"/>
  <c r="J8" i="4"/>
  <c r="I8" i="4"/>
  <c r="E8" i="4"/>
  <c r="D8" i="4"/>
  <c r="C8" i="4"/>
  <c r="B8" i="4"/>
  <c r="A8" i="4"/>
  <c r="L7" i="4"/>
  <c r="J7" i="4"/>
  <c r="I7" i="4"/>
  <c r="E7" i="4"/>
  <c r="D7" i="4"/>
  <c r="C7" i="4"/>
  <c r="B7" i="4"/>
  <c r="A7" i="4"/>
  <c r="L6" i="4"/>
  <c r="J6" i="4"/>
  <c r="I6" i="4"/>
  <c r="E6" i="4"/>
  <c r="D6" i="4"/>
  <c r="C6" i="4"/>
  <c r="B6" i="4"/>
  <c r="A6" i="4"/>
  <c r="L5" i="4"/>
  <c r="J5" i="4"/>
  <c r="I5" i="4"/>
  <c r="E5" i="4"/>
  <c r="D5" i="4"/>
  <c r="C5" i="4"/>
  <c r="B5" i="4"/>
  <c r="A5" i="4"/>
  <c r="I84" i="3"/>
  <c r="O84" i="3" s="1"/>
  <c r="K84" i="4" s="1"/>
  <c r="H84" i="3"/>
  <c r="F84" i="4" s="1"/>
  <c r="I83" i="3"/>
  <c r="G83" i="4" s="1"/>
  <c r="H83" i="3"/>
  <c r="F83" i="4" s="1"/>
  <c r="I82" i="3"/>
  <c r="O82" i="3" s="1"/>
  <c r="K82" i="4" s="1"/>
  <c r="H82" i="3"/>
  <c r="F82" i="4" s="1"/>
  <c r="I81" i="3"/>
  <c r="G81" i="4" s="1"/>
  <c r="H81" i="3"/>
  <c r="F81" i="4" s="1"/>
  <c r="I80" i="3"/>
  <c r="N80" i="3" s="1"/>
  <c r="H80" i="3"/>
  <c r="F80" i="4" s="1"/>
  <c r="I79" i="3"/>
  <c r="O79" i="3" s="1"/>
  <c r="K79" i="4" s="1"/>
  <c r="H79" i="3"/>
  <c r="F79" i="4" s="1"/>
  <c r="I78" i="3"/>
  <c r="O78" i="3" s="1"/>
  <c r="K78" i="4" s="1"/>
  <c r="H78" i="3"/>
  <c r="F78" i="4" s="1"/>
  <c r="I77" i="3"/>
  <c r="G77" i="4" s="1"/>
  <c r="H77" i="3"/>
  <c r="F77" i="4" s="1"/>
  <c r="I76" i="3"/>
  <c r="O76" i="3" s="1"/>
  <c r="K76" i="4" s="1"/>
  <c r="H76" i="3"/>
  <c r="F76" i="4" s="1"/>
  <c r="I75" i="3"/>
  <c r="G75" i="4" s="1"/>
  <c r="H75" i="3"/>
  <c r="F75" i="4" s="1"/>
  <c r="I74" i="3"/>
  <c r="O74" i="3" s="1"/>
  <c r="K74" i="4" s="1"/>
  <c r="H74" i="3"/>
  <c r="F74" i="4" s="1"/>
  <c r="I73" i="3"/>
  <c r="O73" i="3" s="1"/>
  <c r="K73" i="4" s="1"/>
  <c r="H73" i="3"/>
  <c r="F73" i="4" s="1"/>
  <c r="I72" i="3"/>
  <c r="O72" i="3" s="1"/>
  <c r="K72" i="4" s="1"/>
  <c r="H72" i="3"/>
  <c r="F72" i="4" s="1"/>
  <c r="I71" i="3"/>
  <c r="G71" i="4" s="1"/>
  <c r="H71" i="3"/>
  <c r="F71" i="4" s="1"/>
  <c r="I70" i="3"/>
  <c r="O70" i="3" s="1"/>
  <c r="K70" i="4" s="1"/>
  <c r="H70" i="3"/>
  <c r="F70" i="4" s="1"/>
  <c r="I69" i="3"/>
  <c r="G69" i="4" s="1"/>
  <c r="H69" i="3"/>
  <c r="F69" i="4" s="1"/>
  <c r="I68" i="3"/>
  <c r="O68" i="3" s="1"/>
  <c r="K68" i="4" s="1"/>
  <c r="H68" i="3"/>
  <c r="F68" i="4" s="1"/>
  <c r="I67" i="3"/>
  <c r="O67" i="3" s="1"/>
  <c r="K67" i="4" s="1"/>
  <c r="H67" i="3"/>
  <c r="F67" i="4" s="1"/>
  <c r="I66" i="3"/>
  <c r="O66" i="3" s="1"/>
  <c r="K66" i="4" s="1"/>
  <c r="H66" i="3"/>
  <c r="F66" i="4" s="1"/>
  <c r="I65" i="3"/>
  <c r="G65" i="4" s="1"/>
  <c r="H65" i="3"/>
  <c r="F65" i="4" s="1"/>
  <c r="I64" i="3"/>
  <c r="O64" i="3" s="1"/>
  <c r="K64" i="4" s="1"/>
  <c r="H64" i="3"/>
  <c r="F64" i="4" s="1"/>
  <c r="I63" i="3"/>
  <c r="O63" i="3" s="1"/>
  <c r="K63" i="4" s="1"/>
  <c r="H63" i="3"/>
  <c r="F63" i="4" s="1"/>
  <c r="I62" i="3"/>
  <c r="N62" i="3" s="1"/>
  <c r="H62" i="3"/>
  <c r="F62" i="4" s="1"/>
  <c r="I61" i="3"/>
  <c r="G61" i="4" s="1"/>
  <c r="H61" i="3"/>
  <c r="F61" i="4" s="1"/>
  <c r="H60" i="3"/>
  <c r="F60" i="4" s="1"/>
  <c r="H58" i="3"/>
  <c r="F58" i="4" s="1"/>
  <c r="H56" i="3"/>
  <c r="F56" i="4" s="1"/>
  <c r="F54" i="4"/>
  <c r="H52" i="3"/>
  <c r="F52" i="4" s="1"/>
  <c r="H50" i="3"/>
  <c r="F50" i="4" s="1"/>
  <c r="I48" i="3"/>
  <c r="O48" i="3" s="1"/>
  <c r="K48" i="4" s="1"/>
  <c r="H48" i="3"/>
  <c r="F48" i="4" s="1"/>
  <c r="I47" i="3"/>
  <c r="O47" i="3" s="1"/>
  <c r="K47" i="4" s="1"/>
  <c r="H47" i="3"/>
  <c r="F47" i="4" s="1"/>
  <c r="H46" i="3"/>
  <c r="F46" i="4" s="1"/>
  <c r="H44" i="3"/>
  <c r="F44" i="4" s="1"/>
  <c r="H42" i="3"/>
  <c r="F42" i="4" s="1"/>
  <c r="I41" i="3"/>
  <c r="O41" i="3" s="1"/>
  <c r="K41" i="4" s="1"/>
  <c r="H41" i="3"/>
  <c r="F41" i="4" s="1"/>
  <c r="I40" i="3"/>
  <c r="O40" i="3" s="1"/>
  <c r="K40" i="4" s="1"/>
  <c r="H40" i="3"/>
  <c r="F40" i="4" s="1"/>
  <c r="H38" i="3"/>
  <c r="F38" i="4" s="1"/>
  <c r="H36" i="3"/>
  <c r="F36" i="4" s="1"/>
  <c r="F34" i="4"/>
  <c r="H32" i="3"/>
  <c r="F32" i="4" s="1"/>
  <c r="H30" i="3"/>
  <c r="F30" i="4" s="1"/>
  <c r="H28" i="3"/>
  <c r="F28" i="4" s="1"/>
  <c r="F26" i="4"/>
  <c r="H24" i="3"/>
  <c r="F24" i="4" s="1"/>
  <c r="H22" i="3"/>
  <c r="F22" i="4" s="1"/>
  <c r="F20" i="4"/>
  <c r="H18" i="3"/>
  <c r="F18" i="4" s="1"/>
  <c r="H16" i="3"/>
  <c r="F16" i="4" s="1"/>
  <c r="H14" i="3"/>
  <c r="F14" i="4" s="1"/>
  <c r="F12" i="4"/>
  <c r="H10" i="3"/>
  <c r="F10" i="4" s="1"/>
  <c r="H8" i="3"/>
  <c r="F8" i="4" s="1"/>
  <c r="F6" i="4"/>
  <c r="B8" i="1"/>
  <c r="B7" i="1"/>
  <c r="AI4" i="5" s="1"/>
  <c r="B6" i="1"/>
  <c r="O65" i="3" l="1"/>
  <c r="K65" i="4" s="1"/>
  <c r="N66" i="3"/>
  <c r="H65" i="4"/>
  <c r="H81" i="4"/>
  <c r="N64" i="3"/>
  <c r="O80" i="3"/>
  <c r="K80" i="4" s="1"/>
  <c r="O81" i="3"/>
  <c r="K81" i="4" s="1"/>
  <c r="O75" i="3"/>
  <c r="K75" i="4" s="1"/>
  <c r="N82" i="3"/>
  <c r="N72" i="3"/>
  <c r="N70" i="3"/>
  <c r="N78" i="3"/>
  <c r="O62" i="3"/>
  <c r="K62" i="4" s="1"/>
  <c r="O69" i="3"/>
  <c r="K69" i="4" s="1"/>
  <c r="N76" i="3"/>
  <c r="O71" i="3"/>
  <c r="K71" i="4" s="1"/>
  <c r="N74" i="3"/>
  <c r="O83" i="3"/>
  <c r="K83" i="4" s="1"/>
  <c r="H69" i="4"/>
  <c r="O61" i="3"/>
  <c r="K61" i="4" s="1"/>
  <c r="N68" i="3"/>
  <c r="O77" i="3"/>
  <c r="K77" i="4" s="1"/>
  <c r="N84" i="3"/>
  <c r="H71" i="4"/>
  <c r="H83" i="4"/>
  <c r="H61" i="4"/>
  <c r="H77" i="4"/>
  <c r="AH4" i="5"/>
  <c r="AI67" i="5" s="1"/>
  <c r="I8" i="3"/>
  <c r="I10" i="3"/>
  <c r="I14" i="3"/>
  <c r="I16" i="3"/>
  <c r="I18" i="3"/>
  <c r="I22" i="3"/>
  <c r="I24" i="3"/>
  <c r="I28" i="3"/>
  <c r="I30" i="3"/>
  <c r="I32" i="3"/>
  <c r="I36" i="3"/>
  <c r="I38" i="3"/>
  <c r="K40" i="5"/>
  <c r="I40" i="5"/>
  <c r="G40" i="5"/>
  <c r="E40" i="5"/>
  <c r="G40" i="4"/>
  <c r="H40" i="4" s="1"/>
  <c r="I42" i="3"/>
  <c r="I44" i="3"/>
  <c r="I46" i="3"/>
  <c r="AI48" i="5"/>
  <c r="AG48" i="5"/>
  <c r="AE48" i="5"/>
  <c r="E48" i="5"/>
  <c r="G48" i="4"/>
  <c r="H48" i="4" s="1"/>
  <c r="I50" i="3"/>
  <c r="I52" i="3"/>
  <c r="I56" i="3"/>
  <c r="I58" i="3"/>
  <c r="I60" i="3"/>
  <c r="L62" i="5"/>
  <c r="Y62" i="5"/>
  <c r="E62" i="5"/>
  <c r="V62" i="5"/>
  <c r="G62" i="4"/>
  <c r="H62" i="4" s="1"/>
  <c r="Z64" i="5"/>
  <c r="W64" i="5"/>
  <c r="M64" i="5"/>
  <c r="E64" i="5"/>
  <c r="U64" i="5"/>
  <c r="G64" i="4"/>
  <c r="H64" i="4" s="1"/>
  <c r="Z66" i="5"/>
  <c r="W66" i="5"/>
  <c r="AC66" i="5"/>
  <c r="E66" i="5"/>
  <c r="G66" i="4"/>
  <c r="H66" i="4" s="1"/>
  <c r="Z68" i="5"/>
  <c r="W68" i="5"/>
  <c r="E68" i="5"/>
  <c r="V68" i="5"/>
  <c r="F68" i="5"/>
  <c r="G68" i="4"/>
  <c r="H68" i="4" s="1"/>
  <c r="Z70" i="5"/>
  <c r="W70" i="5"/>
  <c r="M70" i="5"/>
  <c r="E70" i="5"/>
  <c r="G70" i="4"/>
  <c r="H70" i="4" s="1"/>
  <c r="Z72" i="5"/>
  <c r="W72" i="5"/>
  <c r="M72" i="5"/>
  <c r="E72" i="5"/>
  <c r="U72" i="5"/>
  <c r="G72" i="4"/>
  <c r="H72" i="4" s="1"/>
  <c r="Z74" i="5"/>
  <c r="J74" i="5"/>
  <c r="W74" i="5"/>
  <c r="AC74" i="5"/>
  <c r="Y74" i="5"/>
  <c r="E74" i="5"/>
  <c r="G74" i="4"/>
  <c r="H74" i="4" s="1"/>
  <c r="Z76" i="5"/>
  <c r="J76" i="5"/>
  <c r="W76" i="5"/>
  <c r="E76" i="5"/>
  <c r="V76" i="5"/>
  <c r="I76" i="5"/>
  <c r="G76" i="4"/>
  <c r="H76" i="4" s="1"/>
  <c r="Z78" i="5"/>
  <c r="J78" i="5"/>
  <c r="W78" i="5"/>
  <c r="G78" i="5"/>
  <c r="M78" i="5"/>
  <c r="Y78" i="5"/>
  <c r="V78" i="5"/>
  <c r="E78" i="5"/>
  <c r="G78" i="4"/>
  <c r="H78" i="4" s="1"/>
  <c r="Z80" i="5"/>
  <c r="J80" i="5"/>
  <c r="W80" i="5"/>
  <c r="G80" i="5"/>
  <c r="T80" i="5"/>
  <c r="I80" i="5"/>
  <c r="E80" i="5"/>
  <c r="U80" i="5"/>
  <c r="Q80" i="5"/>
  <c r="G80" i="4"/>
  <c r="H80" i="4" s="1"/>
  <c r="AH82" i="5"/>
  <c r="Z82" i="5"/>
  <c r="J82" i="5"/>
  <c r="W82" i="5"/>
  <c r="G82" i="5"/>
  <c r="T82" i="5"/>
  <c r="Y82" i="5"/>
  <c r="I82" i="5"/>
  <c r="E82" i="5"/>
  <c r="G82" i="4"/>
  <c r="H82" i="4" s="1"/>
  <c r="AH84" i="5"/>
  <c r="Z84" i="5"/>
  <c r="J84" i="5"/>
  <c r="H84" i="5"/>
  <c r="W84" i="5"/>
  <c r="G84" i="5"/>
  <c r="F84" i="5"/>
  <c r="T84" i="5"/>
  <c r="Y84" i="5"/>
  <c r="E84" i="5"/>
  <c r="AG84" i="5"/>
  <c r="G84" i="4"/>
  <c r="H84" i="4" s="1"/>
  <c r="AG4" i="5"/>
  <c r="AH40" i="5" s="1"/>
  <c r="Y4" i="5"/>
  <c r="Z40" i="5" s="1"/>
  <c r="Q4" i="5"/>
  <c r="R64" i="5" s="1"/>
  <c r="I4" i="5"/>
  <c r="J64" i="5" s="1"/>
  <c r="AF4" i="5"/>
  <c r="AG78" i="5" s="1"/>
  <c r="X4" i="5"/>
  <c r="Y48" i="5" s="1"/>
  <c r="P4" i="5"/>
  <c r="Q64" i="5" s="1"/>
  <c r="H4" i="5"/>
  <c r="I64" i="5" s="1"/>
  <c r="AE4" i="5"/>
  <c r="AF40" i="5" s="1"/>
  <c r="W4" i="5"/>
  <c r="X40" i="5" s="1"/>
  <c r="O4" i="5"/>
  <c r="P62" i="5" s="1"/>
  <c r="G4" i="5"/>
  <c r="H62" i="5" s="1"/>
  <c r="AD4" i="5"/>
  <c r="AE62" i="5" s="1"/>
  <c r="V4" i="5"/>
  <c r="W48" i="5" s="1"/>
  <c r="N4" i="5"/>
  <c r="O64" i="5" s="1"/>
  <c r="F4" i="5"/>
  <c r="G64" i="5" s="1"/>
  <c r="AC4" i="5"/>
  <c r="AD40" i="5" s="1"/>
  <c r="U4" i="5"/>
  <c r="V40" i="5" s="1"/>
  <c r="M4" i="5"/>
  <c r="N77" i="5" s="1"/>
  <c r="E4" i="5"/>
  <c r="F66" i="5" s="1"/>
  <c r="AB4" i="5"/>
  <c r="AC48" i="5" s="1"/>
  <c r="T4" i="5"/>
  <c r="U62" i="5" s="1"/>
  <c r="L4" i="5"/>
  <c r="M40" i="5" s="1"/>
  <c r="N40" i="3"/>
  <c r="N48" i="3"/>
  <c r="J4" i="5"/>
  <c r="K48" i="5" s="1"/>
  <c r="H75" i="4"/>
  <c r="K4" i="5"/>
  <c r="L80" i="5" s="1"/>
  <c r="F5" i="4"/>
  <c r="H7" i="3"/>
  <c r="F7" i="4" s="1"/>
  <c r="H9" i="3"/>
  <c r="F9" i="4" s="1"/>
  <c r="H11" i="3"/>
  <c r="F11" i="4" s="1"/>
  <c r="F13" i="4"/>
  <c r="H15" i="3"/>
  <c r="F15" i="4" s="1"/>
  <c r="H17" i="3"/>
  <c r="F17" i="4" s="1"/>
  <c r="F19" i="4"/>
  <c r="H21" i="3"/>
  <c r="F21" i="4" s="1"/>
  <c r="H23" i="3"/>
  <c r="F23" i="4" s="1"/>
  <c r="H25" i="3"/>
  <c r="F25" i="4" s="1"/>
  <c r="F27" i="4"/>
  <c r="H29" i="3"/>
  <c r="F29" i="4" s="1"/>
  <c r="H31" i="3"/>
  <c r="F31" i="4" s="1"/>
  <c r="F33" i="4"/>
  <c r="H35" i="3"/>
  <c r="F35" i="4" s="1"/>
  <c r="H37" i="3"/>
  <c r="F37" i="4" s="1"/>
  <c r="H39" i="3"/>
  <c r="F39" i="4" s="1"/>
  <c r="H43" i="3"/>
  <c r="F43" i="4" s="1"/>
  <c r="H45" i="3"/>
  <c r="F45" i="4" s="1"/>
  <c r="H49" i="3"/>
  <c r="F49" i="4" s="1"/>
  <c r="H51" i="3"/>
  <c r="F51" i="4" s="1"/>
  <c r="H53" i="3"/>
  <c r="F53" i="4" s="1"/>
  <c r="F55" i="4"/>
  <c r="H57" i="3"/>
  <c r="F57" i="4" s="1"/>
  <c r="H59" i="3"/>
  <c r="F59" i="4" s="1"/>
  <c r="R4" i="5"/>
  <c r="S81" i="5" s="1"/>
  <c r="W67" i="5"/>
  <c r="O67" i="5"/>
  <c r="G67" i="5"/>
  <c r="AD67" i="5"/>
  <c r="F67" i="5"/>
  <c r="L67" i="5"/>
  <c r="K67" i="5"/>
  <c r="AF67" i="5"/>
  <c r="X67" i="5"/>
  <c r="H67" i="5"/>
  <c r="I67" i="5"/>
  <c r="Z67" i="5"/>
  <c r="E67" i="5"/>
  <c r="Y67" i="5"/>
  <c r="Q67" i="5"/>
  <c r="AH67" i="5"/>
  <c r="U67" i="5"/>
  <c r="M67" i="5"/>
  <c r="J67" i="5"/>
  <c r="W71" i="5"/>
  <c r="O71" i="5"/>
  <c r="G71" i="5"/>
  <c r="AD71" i="5"/>
  <c r="V71" i="5"/>
  <c r="F71" i="5"/>
  <c r="L71" i="5"/>
  <c r="AI71" i="5"/>
  <c r="S71" i="5"/>
  <c r="K71" i="5"/>
  <c r="AF71" i="5"/>
  <c r="X71" i="5"/>
  <c r="H71" i="5"/>
  <c r="R71" i="5"/>
  <c r="Q71" i="5"/>
  <c r="AH71" i="5"/>
  <c r="M71" i="5"/>
  <c r="I71" i="5"/>
  <c r="Z71" i="5"/>
  <c r="E71" i="5"/>
  <c r="AG71" i="5"/>
  <c r="Y71" i="5"/>
  <c r="U71" i="5"/>
  <c r="J71" i="5"/>
  <c r="W81" i="5"/>
  <c r="O81" i="5"/>
  <c r="G81" i="5"/>
  <c r="AD81" i="5"/>
  <c r="V81" i="5"/>
  <c r="F81" i="5"/>
  <c r="L81" i="5"/>
  <c r="K81" i="5"/>
  <c r="AH81" i="5"/>
  <c r="Z81" i="5"/>
  <c r="J81" i="5"/>
  <c r="AF81" i="5"/>
  <c r="X81" i="5"/>
  <c r="H81" i="5"/>
  <c r="U81" i="5"/>
  <c r="Q81" i="5"/>
  <c r="M81" i="5"/>
  <c r="I81" i="5"/>
  <c r="E81" i="5"/>
  <c r="AG81" i="5"/>
  <c r="Y81" i="5"/>
  <c r="G67" i="4"/>
  <c r="H67" i="4" s="1"/>
  <c r="S4" i="5"/>
  <c r="T40" i="5" s="1"/>
  <c r="I7" i="3"/>
  <c r="I9" i="3"/>
  <c r="I11" i="3"/>
  <c r="I15" i="3"/>
  <c r="I17" i="3"/>
  <c r="I21" i="3"/>
  <c r="I23" i="3"/>
  <c r="I25" i="3"/>
  <c r="I29" i="3"/>
  <c r="I31" i="3"/>
  <c r="I35" i="3"/>
  <c r="I37" i="3"/>
  <c r="I39" i="3"/>
  <c r="AF41" i="5"/>
  <c r="X41" i="5"/>
  <c r="H41" i="5"/>
  <c r="AE41" i="5"/>
  <c r="W41" i="5"/>
  <c r="O41" i="5"/>
  <c r="G41" i="5"/>
  <c r="AD41" i="5"/>
  <c r="V41" i="5"/>
  <c r="F41" i="5"/>
  <c r="AC41" i="5"/>
  <c r="U41" i="5"/>
  <c r="M41" i="5"/>
  <c r="E41" i="5"/>
  <c r="T41" i="5"/>
  <c r="L41" i="5"/>
  <c r="S41" i="5"/>
  <c r="K41" i="5"/>
  <c r="AH41" i="5"/>
  <c r="Z41" i="5"/>
  <c r="J41" i="5"/>
  <c r="AG41" i="5"/>
  <c r="Y41" i="5"/>
  <c r="Q41" i="5"/>
  <c r="I41" i="5"/>
  <c r="I43" i="3"/>
  <c r="I45" i="3"/>
  <c r="AF47" i="5"/>
  <c r="X47" i="5"/>
  <c r="H47" i="5"/>
  <c r="AE47" i="5"/>
  <c r="W47" i="5"/>
  <c r="O47" i="5"/>
  <c r="G47" i="5"/>
  <c r="AD47" i="5"/>
  <c r="V47" i="5"/>
  <c r="F47" i="5"/>
  <c r="AC47" i="5"/>
  <c r="U47" i="5"/>
  <c r="M47" i="5"/>
  <c r="E47" i="5"/>
  <c r="T47" i="5"/>
  <c r="L47" i="5"/>
  <c r="K47" i="5"/>
  <c r="AH47" i="5"/>
  <c r="Z47" i="5"/>
  <c r="J47" i="5"/>
  <c r="Q47" i="5"/>
  <c r="I47" i="5"/>
  <c r="AG47" i="5"/>
  <c r="Y47" i="5"/>
  <c r="I49" i="3"/>
  <c r="I51" i="3"/>
  <c r="I53" i="3"/>
  <c r="I57" i="3"/>
  <c r="I59" i="3"/>
  <c r="AF61" i="5"/>
  <c r="X61" i="5"/>
  <c r="H61" i="5"/>
  <c r="AE61" i="5"/>
  <c r="W61" i="5"/>
  <c r="O61" i="5"/>
  <c r="G61" i="5"/>
  <c r="AD61" i="5"/>
  <c r="V61" i="5"/>
  <c r="F61" i="5"/>
  <c r="T61" i="5"/>
  <c r="L61" i="5"/>
  <c r="AI61" i="5"/>
  <c r="S61" i="5"/>
  <c r="K61" i="5"/>
  <c r="U61" i="5"/>
  <c r="Q61" i="5"/>
  <c r="AH61" i="5"/>
  <c r="M61" i="5"/>
  <c r="AG61" i="5"/>
  <c r="J61" i="5"/>
  <c r="AC61" i="5"/>
  <c r="I61" i="5"/>
  <c r="Z61" i="5"/>
  <c r="E61" i="5"/>
  <c r="Y61" i="5"/>
  <c r="AE63" i="5"/>
  <c r="AD63" i="5"/>
  <c r="T63" i="5"/>
  <c r="L63" i="5"/>
  <c r="AF63" i="5"/>
  <c r="X63" i="5"/>
  <c r="P63" i="5"/>
  <c r="H63" i="5"/>
  <c r="W63" i="5"/>
  <c r="M63" i="5"/>
  <c r="V63" i="5"/>
  <c r="K63" i="5"/>
  <c r="AH63" i="5"/>
  <c r="U63" i="5"/>
  <c r="J63" i="5"/>
  <c r="AC63" i="5"/>
  <c r="G63" i="5"/>
  <c r="Q63" i="5"/>
  <c r="F63" i="5"/>
  <c r="Y63" i="5"/>
  <c r="S63" i="5"/>
  <c r="O63" i="5"/>
  <c r="I63" i="5"/>
  <c r="E63" i="5"/>
  <c r="AG63" i="5"/>
  <c r="Z63" i="5"/>
  <c r="AE65" i="5"/>
  <c r="W65" i="5"/>
  <c r="O65" i="5"/>
  <c r="G65" i="5"/>
  <c r="AD65" i="5"/>
  <c r="V65" i="5"/>
  <c r="F65" i="5"/>
  <c r="T65" i="5"/>
  <c r="L65" i="5"/>
  <c r="AI65" i="5"/>
  <c r="S65" i="5"/>
  <c r="K65" i="5"/>
  <c r="AF65" i="5"/>
  <c r="X65" i="5"/>
  <c r="P65" i="5"/>
  <c r="H65" i="5"/>
  <c r="AH65" i="5"/>
  <c r="M65" i="5"/>
  <c r="AG65" i="5"/>
  <c r="J65" i="5"/>
  <c r="AC65" i="5"/>
  <c r="I65" i="5"/>
  <c r="Y65" i="5"/>
  <c r="U65" i="5"/>
  <c r="Z65" i="5"/>
  <c r="Q65" i="5"/>
  <c r="E65" i="5"/>
  <c r="AE69" i="5"/>
  <c r="W69" i="5"/>
  <c r="O69" i="5"/>
  <c r="G69" i="5"/>
  <c r="AD69" i="5"/>
  <c r="V69" i="5"/>
  <c r="F69" i="5"/>
  <c r="T69" i="5"/>
  <c r="L69" i="5"/>
  <c r="S69" i="5"/>
  <c r="K69" i="5"/>
  <c r="AF69" i="5"/>
  <c r="X69" i="5"/>
  <c r="H69" i="5"/>
  <c r="Y69" i="5"/>
  <c r="U69" i="5"/>
  <c r="AH69" i="5"/>
  <c r="M69" i="5"/>
  <c r="AG69" i="5"/>
  <c r="J69" i="5"/>
  <c r="I69" i="5"/>
  <c r="E69" i="5"/>
  <c r="AC69" i="5"/>
  <c r="Z69" i="5"/>
  <c r="Q69" i="5"/>
  <c r="AE73" i="5"/>
  <c r="W73" i="5"/>
  <c r="O73" i="5"/>
  <c r="G73" i="5"/>
  <c r="AD73" i="5"/>
  <c r="V73" i="5"/>
  <c r="F73" i="5"/>
  <c r="T73" i="5"/>
  <c r="L73" i="5"/>
  <c r="AI73" i="5"/>
  <c r="S73" i="5"/>
  <c r="K73" i="5"/>
  <c r="AF73" i="5"/>
  <c r="X73" i="5"/>
  <c r="H73" i="5"/>
  <c r="AH73" i="5"/>
  <c r="M73" i="5"/>
  <c r="AG73" i="5"/>
  <c r="J73" i="5"/>
  <c r="AC73" i="5"/>
  <c r="I73" i="5"/>
  <c r="Z73" i="5"/>
  <c r="E73" i="5"/>
  <c r="Y73" i="5"/>
  <c r="U73" i="5"/>
  <c r="Q73" i="5"/>
  <c r="AE75" i="5"/>
  <c r="W75" i="5"/>
  <c r="O75" i="5"/>
  <c r="G75" i="5"/>
  <c r="AD75" i="5"/>
  <c r="V75" i="5"/>
  <c r="F75" i="5"/>
  <c r="T75" i="5"/>
  <c r="L75" i="5"/>
  <c r="AI75" i="5"/>
  <c r="S75" i="5"/>
  <c r="K75" i="5"/>
  <c r="AF75" i="5"/>
  <c r="X75" i="5"/>
  <c r="H75" i="5"/>
  <c r="AC75" i="5"/>
  <c r="I75" i="5"/>
  <c r="Z75" i="5"/>
  <c r="E75" i="5"/>
  <c r="Y75" i="5"/>
  <c r="U75" i="5"/>
  <c r="Q75" i="5"/>
  <c r="AH75" i="5"/>
  <c r="AG75" i="5"/>
  <c r="M75" i="5"/>
  <c r="J75" i="5"/>
  <c r="AE77" i="5"/>
  <c r="W77" i="5"/>
  <c r="O77" i="5"/>
  <c r="G77" i="5"/>
  <c r="AD77" i="5"/>
  <c r="V77" i="5"/>
  <c r="F77" i="5"/>
  <c r="T77" i="5"/>
  <c r="L77" i="5"/>
  <c r="S77" i="5"/>
  <c r="K77" i="5"/>
  <c r="AF77" i="5"/>
  <c r="X77" i="5"/>
  <c r="H77" i="5"/>
  <c r="Y77" i="5"/>
  <c r="U77" i="5"/>
  <c r="R77" i="5"/>
  <c r="Q77" i="5"/>
  <c r="AH77" i="5"/>
  <c r="M77" i="5"/>
  <c r="AG77" i="5"/>
  <c r="J77" i="5"/>
  <c r="AC77" i="5"/>
  <c r="Z77" i="5"/>
  <c r="I77" i="5"/>
  <c r="E77" i="5"/>
  <c r="AE79" i="5"/>
  <c r="W79" i="5"/>
  <c r="O79" i="5"/>
  <c r="G79" i="5"/>
  <c r="AD79" i="5"/>
  <c r="V79" i="5"/>
  <c r="N79" i="5"/>
  <c r="F79" i="5"/>
  <c r="AB79" i="5"/>
  <c r="T79" i="5"/>
  <c r="L79" i="5"/>
  <c r="S79" i="5"/>
  <c r="K79" i="5"/>
  <c r="AH79" i="5"/>
  <c r="Z79" i="5"/>
  <c r="J79" i="5"/>
  <c r="AF79" i="5"/>
  <c r="X79" i="5"/>
  <c r="H79" i="5"/>
  <c r="AC79" i="5"/>
  <c r="Y79" i="5"/>
  <c r="U79" i="5"/>
  <c r="Q79" i="5"/>
  <c r="M79" i="5"/>
  <c r="I79" i="5"/>
  <c r="E79" i="5"/>
  <c r="AG79" i="5"/>
  <c r="AE83" i="5"/>
  <c r="W83" i="5"/>
  <c r="O83" i="5"/>
  <c r="G83" i="5"/>
  <c r="AD83" i="5"/>
  <c r="V83" i="5"/>
  <c r="F83" i="5"/>
  <c r="T83" i="5"/>
  <c r="L83" i="5"/>
  <c r="AI83" i="5"/>
  <c r="S83" i="5"/>
  <c r="K83" i="5"/>
  <c r="AH83" i="5"/>
  <c r="Z83" i="5"/>
  <c r="J83" i="5"/>
  <c r="AF83" i="5"/>
  <c r="X83" i="5"/>
  <c r="H83" i="5"/>
  <c r="M83" i="5"/>
  <c r="I83" i="5"/>
  <c r="E83" i="5"/>
  <c r="AG83" i="5"/>
  <c r="AC83" i="5"/>
  <c r="Y83" i="5"/>
  <c r="U83" i="5"/>
  <c r="Q83" i="5"/>
  <c r="G41" i="4"/>
  <c r="H41" i="4" s="1"/>
  <c r="N41" i="3"/>
  <c r="N47" i="3"/>
  <c r="N61" i="3"/>
  <c r="N63" i="3"/>
  <c r="N65" i="3"/>
  <c r="N67" i="3"/>
  <c r="N69" i="3"/>
  <c r="N71" i="3"/>
  <c r="N73" i="3"/>
  <c r="N75" i="3"/>
  <c r="N77" i="3"/>
  <c r="N79" i="3"/>
  <c r="N81" i="3"/>
  <c r="N83" i="3"/>
  <c r="G73" i="4"/>
  <c r="H73" i="4" s="1"/>
  <c r="Z4" i="5"/>
  <c r="AA48" i="5" s="1"/>
  <c r="G47" i="4"/>
  <c r="H47" i="4" s="1"/>
  <c r="G63" i="4"/>
  <c r="H63" i="4" s="1"/>
  <c r="G79" i="4"/>
  <c r="H79" i="4" s="1"/>
  <c r="AA4" i="5"/>
  <c r="AB83" i="5" s="1"/>
  <c r="N78" i="5" l="1"/>
  <c r="N70" i="5"/>
  <c r="AB36" i="5"/>
  <c r="T36" i="5"/>
  <c r="L36" i="5"/>
  <c r="AI36" i="5"/>
  <c r="AA36" i="5"/>
  <c r="S36" i="5"/>
  <c r="K36" i="5"/>
  <c r="AH36" i="5"/>
  <c r="Z36" i="5"/>
  <c r="R36" i="5"/>
  <c r="J36" i="5"/>
  <c r="W36" i="5"/>
  <c r="I36" i="5"/>
  <c r="AG36" i="5"/>
  <c r="V36" i="5"/>
  <c r="H36" i="5"/>
  <c r="AF36" i="5"/>
  <c r="U36" i="5"/>
  <c r="G36" i="5"/>
  <c r="AE36" i="5"/>
  <c r="Q36" i="5"/>
  <c r="F36" i="5"/>
  <c r="AD36" i="5"/>
  <c r="P36" i="5"/>
  <c r="E36" i="5"/>
  <c r="AC36" i="5"/>
  <c r="O36" i="5"/>
  <c r="Y36" i="5"/>
  <c r="N36" i="5"/>
  <c r="X36" i="5"/>
  <c r="M36" i="5"/>
  <c r="G36" i="4"/>
  <c r="H36" i="4" s="1"/>
  <c r="O36" i="3"/>
  <c r="K36" i="4" s="1"/>
  <c r="N36" i="3"/>
  <c r="AI20" i="5"/>
  <c r="AA20" i="5"/>
  <c r="S20" i="5"/>
  <c r="K20" i="5"/>
  <c r="AH20" i="5"/>
  <c r="Z20" i="5"/>
  <c r="R20" i="5"/>
  <c r="J20" i="5"/>
  <c r="AG20" i="5"/>
  <c r="Y20" i="5"/>
  <c r="Q20" i="5"/>
  <c r="I20" i="5"/>
  <c r="AF20" i="5"/>
  <c r="X20" i="5"/>
  <c r="P20" i="5"/>
  <c r="H20" i="5"/>
  <c r="AE20" i="5"/>
  <c r="W20" i="5"/>
  <c r="O20" i="5"/>
  <c r="G20" i="5"/>
  <c r="AD20" i="5"/>
  <c r="V20" i="5"/>
  <c r="N20" i="5"/>
  <c r="F20" i="5"/>
  <c r="AC20" i="5"/>
  <c r="U20" i="5"/>
  <c r="M20" i="5"/>
  <c r="E20" i="5"/>
  <c r="AB20" i="5"/>
  <c r="T20" i="5"/>
  <c r="L20" i="5"/>
  <c r="G20" i="4"/>
  <c r="H20" i="4" s="1"/>
  <c r="O20" i="3"/>
  <c r="K20" i="4" s="1"/>
  <c r="N20" i="3"/>
  <c r="N66" i="5"/>
  <c r="N83" i="5"/>
  <c r="AA77" i="5"/>
  <c r="P69" i="5"/>
  <c r="AB65" i="5"/>
  <c r="AF57" i="5"/>
  <c r="X57" i="5"/>
  <c r="P57" i="5"/>
  <c r="H57" i="5"/>
  <c r="AE57" i="5"/>
  <c r="W57" i="5"/>
  <c r="O57" i="5"/>
  <c r="G57" i="5"/>
  <c r="AD57" i="5"/>
  <c r="V57" i="5"/>
  <c r="N57" i="5"/>
  <c r="F57" i="5"/>
  <c r="AB57" i="5"/>
  <c r="T57" i="5"/>
  <c r="L57" i="5"/>
  <c r="AI57" i="5"/>
  <c r="AA57" i="5"/>
  <c r="S57" i="5"/>
  <c r="K57" i="5"/>
  <c r="AG57" i="5"/>
  <c r="J57" i="5"/>
  <c r="AC57" i="5"/>
  <c r="I57" i="5"/>
  <c r="Z57" i="5"/>
  <c r="E57" i="5"/>
  <c r="Y57" i="5"/>
  <c r="U57" i="5"/>
  <c r="R57" i="5"/>
  <c r="Q57" i="5"/>
  <c r="AH57" i="5"/>
  <c r="M57" i="5"/>
  <c r="O57" i="3"/>
  <c r="K57" i="4" s="1"/>
  <c r="G57" i="4"/>
  <c r="H57" i="4" s="1"/>
  <c r="N57" i="3"/>
  <c r="AI47" i="5"/>
  <c r="AA41" i="5"/>
  <c r="AF33" i="5"/>
  <c r="X33" i="5"/>
  <c r="AG33" i="5"/>
  <c r="W33" i="5"/>
  <c r="O33" i="5"/>
  <c r="G33" i="5"/>
  <c r="AE33" i="5"/>
  <c r="V33" i="5"/>
  <c r="N33" i="5"/>
  <c r="F33" i="5"/>
  <c r="AD33" i="5"/>
  <c r="U33" i="5"/>
  <c r="M33" i="5"/>
  <c r="E33" i="5"/>
  <c r="AC33" i="5"/>
  <c r="T33" i="5"/>
  <c r="L33" i="5"/>
  <c r="AB33" i="5"/>
  <c r="S33" i="5"/>
  <c r="K33" i="5"/>
  <c r="AA33" i="5"/>
  <c r="R33" i="5"/>
  <c r="J33" i="5"/>
  <c r="AI33" i="5"/>
  <c r="Z33" i="5"/>
  <c r="Q33" i="5"/>
  <c r="I33" i="5"/>
  <c r="AH33" i="5"/>
  <c r="Y33" i="5"/>
  <c r="P33" i="5"/>
  <c r="H33" i="5"/>
  <c r="O33" i="3"/>
  <c r="K33" i="4" s="1"/>
  <c r="N33" i="3"/>
  <c r="G33" i="4"/>
  <c r="H33" i="4" s="1"/>
  <c r="AE17" i="5"/>
  <c r="W17" i="5"/>
  <c r="O17" i="5"/>
  <c r="G17" i="5"/>
  <c r="AD17" i="5"/>
  <c r="V17" i="5"/>
  <c r="N17" i="5"/>
  <c r="F17" i="5"/>
  <c r="AC17" i="5"/>
  <c r="U17" i="5"/>
  <c r="M17" i="5"/>
  <c r="E17" i="5"/>
  <c r="AG17" i="5"/>
  <c r="S17" i="5"/>
  <c r="H17" i="5"/>
  <c r="AF17" i="5"/>
  <c r="R17" i="5"/>
  <c r="AB17" i="5"/>
  <c r="Q17" i="5"/>
  <c r="AA17" i="5"/>
  <c r="P17" i="5"/>
  <c r="Z17" i="5"/>
  <c r="L17" i="5"/>
  <c r="Y17" i="5"/>
  <c r="K17" i="5"/>
  <c r="AI17" i="5"/>
  <c r="X17" i="5"/>
  <c r="J17" i="5"/>
  <c r="AH17" i="5"/>
  <c r="O17" i="3"/>
  <c r="K17" i="4" s="1"/>
  <c r="T17" i="5"/>
  <c r="N17" i="3"/>
  <c r="I17" i="5"/>
  <c r="G17" i="4"/>
  <c r="H17" i="4" s="1"/>
  <c r="AI81" i="5"/>
  <c r="P67" i="5"/>
  <c r="T67" i="5"/>
  <c r="AB84" i="5"/>
  <c r="AE84" i="5"/>
  <c r="M82" i="5"/>
  <c r="AB82" i="5"/>
  <c r="AE82" i="5"/>
  <c r="AB80" i="5"/>
  <c r="AE80" i="5"/>
  <c r="AH80" i="5"/>
  <c r="Q78" i="5"/>
  <c r="AE78" i="5"/>
  <c r="AH78" i="5"/>
  <c r="AC76" i="5"/>
  <c r="AE76" i="5"/>
  <c r="AH76" i="5"/>
  <c r="AG74" i="5"/>
  <c r="I74" i="5"/>
  <c r="AE74" i="5"/>
  <c r="AH74" i="5"/>
  <c r="V72" i="5"/>
  <c r="AG72" i="5"/>
  <c r="AE72" i="5"/>
  <c r="AH72" i="5"/>
  <c r="V70" i="5"/>
  <c r="Q70" i="5"/>
  <c r="AE70" i="5"/>
  <c r="AH70" i="5"/>
  <c r="I68" i="5"/>
  <c r="AE68" i="5"/>
  <c r="AH68" i="5"/>
  <c r="V66" i="5"/>
  <c r="I66" i="5"/>
  <c r="AE66" i="5"/>
  <c r="AH66" i="5"/>
  <c r="AC64" i="5"/>
  <c r="AG64" i="5"/>
  <c r="AE64" i="5"/>
  <c r="AH64" i="5"/>
  <c r="Q62" i="5"/>
  <c r="AI62" i="5"/>
  <c r="T62" i="5"/>
  <c r="AI54" i="5"/>
  <c r="AA54" i="5"/>
  <c r="S54" i="5"/>
  <c r="K54" i="5"/>
  <c r="AH54" i="5"/>
  <c r="Z54" i="5"/>
  <c r="R54" i="5"/>
  <c r="J54" i="5"/>
  <c r="AF54" i="5"/>
  <c r="X54" i="5"/>
  <c r="AE54" i="5"/>
  <c r="W54" i="5"/>
  <c r="O54" i="5"/>
  <c r="G54" i="5"/>
  <c r="U54" i="5"/>
  <c r="H54" i="5"/>
  <c r="T54" i="5"/>
  <c r="F54" i="5"/>
  <c r="AG54" i="5"/>
  <c r="Q54" i="5"/>
  <c r="E54" i="5"/>
  <c r="AD54" i="5"/>
  <c r="P54" i="5"/>
  <c r="AC54" i="5"/>
  <c r="N54" i="5"/>
  <c r="AB54" i="5"/>
  <c r="M54" i="5"/>
  <c r="Y54" i="5"/>
  <c r="L54" i="5"/>
  <c r="V54" i="5"/>
  <c r="G54" i="4"/>
  <c r="H54" i="4" s="1"/>
  <c r="I54" i="5"/>
  <c r="O54" i="3"/>
  <c r="K54" i="4" s="1"/>
  <c r="N54" i="3"/>
  <c r="F48" i="5"/>
  <c r="H48" i="5"/>
  <c r="J48" i="5"/>
  <c r="L48" i="5"/>
  <c r="U40" i="5"/>
  <c r="O40" i="5"/>
  <c r="Q40" i="5"/>
  <c r="S40" i="5"/>
  <c r="AB34" i="5"/>
  <c r="T34" i="5"/>
  <c r="L34" i="5"/>
  <c r="AI34" i="5"/>
  <c r="AA34" i="5"/>
  <c r="S34" i="5"/>
  <c r="K34" i="5"/>
  <c r="AH34" i="5"/>
  <c r="Y34" i="5"/>
  <c r="O34" i="5"/>
  <c r="E34" i="5"/>
  <c r="X34" i="5"/>
  <c r="N34" i="5"/>
  <c r="AG34" i="5"/>
  <c r="W34" i="5"/>
  <c r="M34" i="5"/>
  <c r="AF34" i="5"/>
  <c r="V34" i="5"/>
  <c r="J34" i="5"/>
  <c r="AE34" i="5"/>
  <c r="U34" i="5"/>
  <c r="I34" i="5"/>
  <c r="AD34" i="5"/>
  <c r="R34" i="5"/>
  <c r="H34" i="5"/>
  <c r="AC34" i="5"/>
  <c r="Q34" i="5"/>
  <c r="G34" i="5"/>
  <c r="Z34" i="5"/>
  <c r="P34" i="5"/>
  <c r="F34" i="5"/>
  <c r="G34" i="4"/>
  <c r="H34" i="4" s="1"/>
  <c r="O34" i="3"/>
  <c r="K34" i="4" s="1"/>
  <c r="N34" i="3"/>
  <c r="AI18" i="5"/>
  <c r="AA18" i="5"/>
  <c r="S18" i="5"/>
  <c r="K18" i="5"/>
  <c r="AH18" i="5"/>
  <c r="Z18" i="5"/>
  <c r="R18" i="5"/>
  <c r="J18" i="5"/>
  <c r="AG18" i="5"/>
  <c r="Y18" i="5"/>
  <c r="Q18" i="5"/>
  <c r="I18" i="5"/>
  <c r="AD18" i="5"/>
  <c r="P18" i="5"/>
  <c r="E18" i="5"/>
  <c r="AC18" i="5"/>
  <c r="O18" i="5"/>
  <c r="AB18" i="5"/>
  <c r="N18" i="5"/>
  <c r="X18" i="5"/>
  <c r="M18" i="5"/>
  <c r="W18" i="5"/>
  <c r="L18" i="5"/>
  <c r="V18" i="5"/>
  <c r="H18" i="5"/>
  <c r="AF18" i="5"/>
  <c r="U18" i="5"/>
  <c r="G18" i="5"/>
  <c r="AE18" i="5"/>
  <c r="T18" i="5"/>
  <c r="G18" i="4"/>
  <c r="H18" i="4" s="1"/>
  <c r="F18" i="5"/>
  <c r="O18" i="3"/>
  <c r="K18" i="4" s="1"/>
  <c r="N18" i="3"/>
  <c r="AB56" i="5"/>
  <c r="T56" i="5"/>
  <c r="L56" i="5"/>
  <c r="AI56" i="5"/>
  <c r="AA56" i="5"/>
  <c r="S56" i="5"/>
  <c r="K56" i="5"/>
  <c r="AH56" i="5"/>
  <c r="Z56" i="5"/>
  <c r="R56" i="5"/>
  <c r="J56" i="5"/>
  <c r="AF56" i="5"/>
  <c r="X56" i="5"/>
  <c r="P56" i="5"/>
  <c r="H56" i="5"/>
  <c r="AE56" i="5"/>
  <c r="W56" i="5"/>
  <c r="O56" i="5"/>
  <c r="G56" i="5"/>
  <c r="AG56" i="5"/>
  <c r="M56" i="5"/>
  <c r="AD56" i="5"/>
  <c r="I56" i="5"/>
  <c r="AC56" i="5"/>
  <c r="F56" i="5"/>
  <c r="Y56" i="5"/>
  <c r="E56" i="5"/>
  <c r="V56" i="5"/>
  <c r="U56" i="5"/>
  <c r="Q56" i="5"/>
  <c r="N56" i="5"/>
  <c r="G56" i="4"/>
  <c r="H56" i="4" s="1"/>
  <c r="O56" i="3"/>
  <c r="K56" i="4" s="1"/>
  <c r="N56" i="3"/>
  <c r="P83" i="5"/>
  <c r="AA79" i="5"/>
  <c r="AI77" i="5"/>
  <c r="P73" i="5"/>
  <c r="AB69" i="5"/>
  <c r="AF55" i="5"/>
  <c r="X55" i="5"/>
  <c r="P55" i="5"/>
  <c r="H55" i="5"/>
  <c r="AE55" i="5"/>
  <c r="W55" i="5"/>
  <c r="O55" i="5"/>
  <c r="G55" i="5"/>
  <c r="AD55" i="5"/>
  <c r="V55" i="5"/>
  <c r="N55" i="5"/>
  <c r="F55" i="5"/>
  <c r="AB55" i="5"/>
  <c r="T55" i="5"/>
  <c r="L55" i="5"/>
  <c r="AI55" i="5"/>
  <c r="AA55" i="5"/>
  <c r="S55" i="5"/>
  <c r="K55" i="5"/>
  <c r="Q55" i="5"/>
  <c r="AH55" i="5"/>
  <c r="M55" i="5"/>
  <c r="AG55" i="5"/>
  <c r="J55" i="5"/>
  <c r="AC55" i="5"/>
  <c r="I55" i="5"/>
  <c r="Z55" i="5"/>
  <c r="E55" i="5"/>
  <c r="Y55" i="5"/>
  <c r="U55" i="5"/>
  <c r="R55" i="5"/>
  <c r="O55" i="3"/>
  <c r="K55" i="4" s="1"/>
  <c r="N55" i="3"/>
  <c r="G55" i="4"/>
  <c r="H55" i="4" s="1"/>
  <c r="N47" i="5"/>
  <c r="P47" i="5"/>
  <c r="AI41" i="5"/>
  <c r="AE31" i="5"/>
  <c r="W31" i="5"/>
  <c r="O31" i="5"/>
  <c r="G31" i="5"/>
  <c r="AD31" i="5"/>
  <c r="V31" i="5"/>
  <c r="N31" i="5"/>
  <c r="F31" i="5"/>
  <c r="AC31" i="5"/>
  <c r="U31" i="5"/>
  <c r="M31" i="5"/>
  <c r="E31" i="5"/>
  <c r="AB31" i="5"/>
  <c r="T31" i="5"/>
  <c r="L31" i="5"/>
  <c r="AI31" i="5"/>
  <c r="AA31" i="5"/>
  <c r="S31" i="5"/>
  <c r="K31" i="5"/>
  <c r="AH31" i="5"/>
  <c r="Z31" i="5"/>
  <c r="R31" i="5"/>
  <c r="J31" i="5"/>
  <c r="AG31" i="5"/>
  <c r="Y31" i="5"/>
  <c r="Q31" i="5"/>
  <c r="I31" i="5"/>
  <c r="AF31" i="5"/>
  <c r="X31" i="5"/>
  <c r="P31" i="5"/>
  <c r="O31" i="3"/>
  <c r="K31" i="4" s="1"/>
  <c r="N31" i="3"/>
  <c r="H31" i="5"/>
  <c r="G31" i="4"/>
  <c r="AE15" i="5"/>
  <c r="W15" i="5"/>
  <c r="O15" i="5"/>
  <c r="G15" i="5"/>
  <c r="AD15" i="5"/>
  <c r="V15" i="5"/>
  <c r="N15" i="5"/>
  <c r="AG15" i="5"/>
  <c r="U15" i="5"/>
  <c r="K15" i="5"/>
  <c r="AF15" i="5"/>
  <c r="T15" i="5"/>
  <c r="J15" i="5"/>
  <c r="AC15" i="5"/>
  <c r="S15" i="5"/>
  <c r="I15" i="5"/>
  <c r="AB15" i="5"/>
  <c r="R15" i="5"/>
  <c r="H15" i="5"/>
  <c r="AA15" i="5"/>
  <c r="Q15" i="5"/>
  <c r="F15" i="5"/>
  <c r="Z15" i="5"/>
  <c r="P15" i="5"/>
  <c r="E15" i="5"/>
  <c r="AI15" i="5"/>
  <c r="Y15" i="5"/>
  <c r="M15" i="5"/>
  <c r="AH15" i="5"/>
  <c r="O15" i="3"/>
  <c r="K15" i="4" s="1"/>
  <c r="X15" i="5"/>
  <c r="N15" i="3"/>
  <c r="L15" i="5"/>
  <c r="G15" i="4"/>
  <c r="H15" i="4" s="1"/>
  <c r="P71" i="5"/>
  <c r="T71" i="5"/>
  <c r="R67" i="5"/>
  <c r="AB67" i="5"/>
  <c r="AE67" i="5"/>
  <c r="I84" i="5"/>
  <c r="K84" i="5"/>
  <c r="Q82" i="5"/>
  <c r="F82" i="5"/>
  <c r="H82" i="5"/>
  <c r="K82" i="5"/>
  <c r="Y80" i="5"/>
  <c r="F80" i="5"/>
  <c r="H80" i="5"/>
  <c r="K80" i="5"/>
  <c r="F78" i="5"/>
  <c r="U78" i="5"/>
  <c r="H78" i="5"/>
  <c r="K78" i="5"/>
  <c r="AD76" i="5"/>
  <c r="Y76" i="5"/>
  <c r="H76" i="5"/>
  <c r="K76" i="5"/>
  <c r="Q74" i="5"/>
  <c r="AD74" i="5"/>
  <c r="H74" i="5"/>
  <c r="K74" i="5"/>
  <c r="N72" i="5"/>
  <c r="H72" i="5"/>
  <c r="K72" i="5"/>
  <c r="Y70" i="5"/>
  <c r="U70" i="5"/>
  <c r="H70" i="5"/>
  <c r="K70" i="5"/>
  <c r="Q68" i="5"/>
  <c r="Y68" i="5"/>
  <c r="H68" i="5"/>
  <c r="K68" i="5"/>
  <c r="AG66" i="5"/>
  <c r="AD66" i="5"/>
  <c r="H66" i="5"/>
  <c r="K66" i="5"/>
  <c r="F64" i="5"/>
  <c r="N64" i="5"/>
  <c r="H64" i="5"/>
  <c r="K64" i="5"/>
  <c r="Z62" i="5"/>
  <c r="G62" i="5"/>
  <c r="J62" i="5"/>
  <c r="AD62" i="5"/>
  <c r="AI52" i="5"/>
  <c r="AA52" i="5"/>
  <c r="S52" i="5"/>
  <c r="K52" i="5"/>
  <c r="AH52" i="5"/>
  <c r="Y52" i="5"/>
  <c r="P52" i="5"/>
  <c r="G52" i="5"/>
  <c r="AG52" i="5"/>
  <c r="X52" i="5"/>
  <c r="O52" i="5"/>
  <c r="F52" i="5"/>
  <c r="AF52" i="5"/>
  <c r="W52" i="5"/>
  <c r="N52" i="5"/>
  <c r="E52" i="5"/>
  <c r="AE52" i="5"/>
  <c r="V52" i="5"/>
  <c r="M52" i="5"/>
  <c r="AD52" i="5"/>
  <c r="U52" i="5"/>
  <c r="L52" i="5"/>
  <c r="AC52" i="5"/>
  <c r="T52" i="5"/>
  <c r="J52" i="5"/>
  <c r="AB52" i="5"/>
  <c r="R52" i="5"/>
  <c r="I52" i="5"/>
  <c r="Z52" i="5"/>
  <c r="Q52" i="5"/>
  <c r="H52" i="5"/>
  <c r="G52" i="4"/>
  <c r="H52" i="4" s="1"/>
  <c r="O52" i="3"/>
  <c r="K52" i="4" s="1"/>
  <c r="N52" i="3"/>
  <c r="N48" i="5"/>
  <c r="P48" i="5"/>
  <c r="R48" i="5"/>
  <c r="T48" i="5"/>
  <c r="AC40" i="5"/>
  <c r="W40" i="5"/>
  <c r="Y40" i="5"/>
  <c r="AA40" i="5"/>
  <c r="AI32" i="5"/>
  <c r="AA32" i="5"/>
  <c r="S32" i="5"/>
  <c r="K32" i="5"/>
  <c r="AH32" i="5"/>
  <c r="Z32" i="5"/>
  <c r="R32" i="5"/>
  <c r="J32" i="5"/>
  <c r="AG32" i="5"/>
  <c r="Y32" i="5"/>
  <c r="Q32" i="5"/>
  <c r="I32" i="5"/>
  <c r="AF32" i="5"/>
  <c r="X32" i="5"/>
  <c r="P32" i="5"/>
  <c r="H32" i="5"/>
  <c r="AE32" i="5"/>
  <c r="W32" i="5"/>
  <c r="O32" i="5"/>
  <c r="G32" i="5"/>
  <c r="AD32" i="5"/>
  <c r="V32" i="5"/>
  <c r="N32" i="5"/>
  <c r="F32" i="5"/>
  <c r="AC32" i="5"/>
  <c r="U32" i="5"/>
  <c r="M32" i="5"/>
  <c r="E32" i="5"/>
  <c r="AB32" i="5"/>
  <c r="T32" i="5"/>
  <c r="L32" i="5"/>
  <c r="G32" i="4"/>
  <c r="H32" i="4" s="1"/>
  <c r="O32" i="3"/>
  <c r="K32" i="4" s="1"/>
  <c r="N32" i="3"/>
  <c r="AI16" i="5"/>
  <c r="AA16" i="5"/>
  <c r="S16" i="5"/>
  <c r="K16" i="5"/>
  <c r="AH16" i="5"/>
  <c r="Z16" i="5"/>
  <c r="R16" i="5"/>
  <c r="J16" i="5"/>
  <c r="AG16" i="5"/>
  <c r="Y16" i="5"/>
  <c r="Q16" i="5"/>
  <c r="I16" i="5"/>
  <c r="AD16" i="5"/>
  <c r="P16" i="5"/>
  <c r="E16" i="5"/>
  <c r="AC16" i="5"/>
  <c r="O16" i="5"/>
  <c r="AB16" i="5"/>
  <c r="N16" i="5"/>
  <c r="X16" i="5"/>
  <c r="M16" i="5"/>
  <c r="W16" i="5"/>
  <c r="L16" i="5"/>
  <c r="V16" i="5"/>
  <c r="H16" i="5"/>
  <c r="AF16" i="5"/>
  <c r="U16" i="5"/>
  <c r="G16" i="5"/>
  <c r="AE16" i="5"/>
  <c r="T16" i="5"/>
  <c r="G16" i="4"/>
  <c r="H16" i="4" s="1"/>
  <c r="F16" i="5"/>
  <c r="O16" i="3"/>
  <c r="K16" i="4" s="1"/>
  <c r="N16" i="3"/>
  <c r="AA47" i="5"/>
  <c r="AF35" i="5"/>
  <c r="X35" i="5"/>
  <c r="P35" i="5"/>
  <c r="H35" i="5"/>
  <c r="AE35" i="5"/>
  <c r="W35" i="5"/>
  <c r="O35" i="5"/>
  <c r="G35" i="5"/>
  <c r="AD35" i="5"/>
  <c r="V35" i="5"/>
  <c r="N35" i="5"/>
  <c r="F35" i="5"/>
  <c r="Z35" i="5"/>
  <c r="L35" i="5"/>
  <c r="Y35" i="5"/>
  <c r="K35" i="5"/>
  <c r="AI35" i="5"/>
  <c r="U35" i="5"/>
  <c r="J35" i="5"/>
  <c r="AH35" i="5"/>
  <c r="T35" i="5"/>
  <c r="I35" i="5"/>
  <c r="AG35" i="5"/>
  <c r="S35" i="5"/>
  <c r="E35" i="5"/>
  <c r="AC35" i="5"/>
  <c r="R35" i="5"/>
  <c r="AB35" i="5"/>
  <c r="Q35" i="5"/>
  <c r="AA35" i="5"/>
  <c r="M35" i="5"/>
  <c r="O35" i="3"/>
  <c r="K35" i="4" s="1"/>
  <c r="N35" i="3"/>
  <c r="G35" i="4"/>
  <c r="H35" i="4" s="1"/>
  <c r="N74" i="5"/>
  <c r="N62" i="5"/>
  <c r="P79" i="5"/>
  <c r="AA83" i="5"/>
  <c r="AI79" i="5"/>
  <c r="R75" i="5"/>
  <c r="P75" i="5"/>
  <c r="AB73" i="5"/>
  <c r="N65" i="5"/>
  <c r="AI63" i="5"/>
  <c r="R61" i="5"/>
  <c r="AB61" i="5"/>
  <c r="AE53" i="5"/>
  <c r="W53" i="5"/>
  <c r="O53" i="5"/>
  <c r="G53" i="5"/>
  <c r="AI53" i="5"/>
  <c r="Z53" i="5"/>
  <c r="Q53" i="5"/>
  <c r="H53" i="5"/>
  <c r="AH53" i="5"/>
  <c r="Y53" i="5"/>
  <c r="P53" i="5"/>
  <c r="F53" i="5"/>
  <c r="AG53" i="5"/>
  <c r="X53" i="5"/>
  <c r="N53" i="5"/>
  <c r="E53" i="5"/>
  <c r="AF53" i="5"/>
  <c r="V53" i="5"/>
  <c r="M53" i="5"/>
  <c r="AD53" i="5"/>
  <c r="U53" i="5"/>
  <c r="L53" i="5"/>
  <c r="AC53" i="5"/>
  <c r="T53" i="5"/>
  <c r="K53" i="5"/>
  <c r="AB53" i="5"/>
  <c r="S53" i="5"/>
  <c r="J53" i="5"/>
  <c r="AA53" i="5"/>
  <c r="R53" i="5"/>
  <c r="I53" i="5"/>
  <c r="O53" i="3"/>
  <c r="K53" i="4" s="1"/>
  <c r="N53" i="3"/>
  <c r="G53" i="4"/>
  <c r="H53" i="4" s="1"/>
  <c r="R47" i="5"/>
  <c r="N41" i="5"/>
  <c r="P41" i="5"/>
  <c r="AE29" i="5"/>
  <c r="W29" i="5"/>
  <c r="O29" i="5"/>
  <c r="G29" i="5"/>
  <c r="AD29" i="5"/>
  <c r="V29" i="5"/>
  <c r="N29" i="5"/>
  <c r="F29" i="5"/>
  <c r="AC29" i="5"/>
  <c r="U29" i="5"/>
  <c r="M29" i="5"/>
  <c r="E29" i="5"/>
  <c r="AB29" i="5"/>
  <c r="T29" i="5"/>
  <c r="L29" i="5"/>
  <c r="AI29" i="5"/>
  <c r="AA29" i="5"/>
  <c r="S29" i="5"/>
  <c r="K29" i="5"/>
  <c r="AH29" i="5"/>
  <c r="Z29" i="5"/>
  <c r="R29" i="5"/>
  <c r="J29" i="5"/>
  <c r="AG29" i="5"/>
  <c r="Y29" i="5"/>
  <c r="Q29" i="5"/>
  <c r="I29" i="5"/>
  <c r="H29" i="5"/>
  <c r="AF29" i="5"/>
  <c r="X29" i="5"/>
  <c r="O29" i="3"/>
  <c r="K29" i="4" s="1"/>
  <c r="N29" i="3"/>
  <c r="P29" i="5"/>
  <c r="G29" i="4"/>
  <c r="H29" i="4" s="1"/>
  <c r="AE13" i="5"/>
  <c r="W13" i="5"/>
  <c r="O13" i="5"/>
  <c r="G13" i="5"/>
  <c r="AC13" i="5"/>
  <c r="T13" i="5"/>
  <c r="K13" i="5"/>
  <c r="AB13" i="5"/>
  <c r="S13" i="5"/>
  <c r="J13" i="5"/>
  <c r="AA13" i="5"/>
  <c r="R13" i="5"/>
  <c r="I13" i="5"/>
  <c r="AI13" i="5"/>
  <c r="Z13" i="5"/>
  <c r="Q13" i="5"/>
  <c r="H13" i="5"/>
  <c r="AH13" i="5"/>
  <c r="Y13" i="5"/>
  <c r="P13" i="5"/>
  <c r="F13" i="5"/>
  <c r="AG13" i="5"/>
  <c r="X13" i="5"/>
  <c r="N13" i="5"/>
  <c r="E13" i="5"/>
  <c r="AF13" i="5"/>
  <c r="V13" i="5"/>
  <c r="M13" i="5"/>
  <c r="AD13" i="5"/>
  <c r="O13" i="3"/>
  <c r="K13" i="4" s="1"/>
  <c r="U13" i="5"/>
  <c r="N13" i="3"/>
  <c r="L13" i="5"/>
  <c r="G13" i="4"/>
  <c r="H13" i="4" s="1"/>
  <c r="R81" i="5"/>
  <c r="T81" i="5"/>
  <c r="AB71" i="5"/>
  <c r="AE71" i="5"/>
  <c r="H31" i="4"/>
  <c r="M84" i="5"/>
  <c r="N84" i="5"/>
  <c r="P84" i="5"/>
  <c r="S84" i="5"/>
  <c r="U82" i="5"/>
  <c r="N82" i="5"/>
  <c r="P82" i="5"/>
  <c r="S82" i="5"/>
  <c r="AC80" i="5"/>
  <c r="N80" i="5"/>
  <c r="P80" i="5"/>
  <c r="S80" i="5"/>
  <c r="AC78" i="5"/>
  <c r="L78" i="5"/>
  <c r="P78" i="5"/>
  <c r="S78" i="5"/>
  <c r="M76" i="5"/>
  <c r="L76" i="5"/>
  <c r="P76" i="5"/>
  <c r="S76" i="5"/>
  <c r="U74" i="5"/>
  <c r="L74" i="5"/>
  <c r="P74" i="5"/>
  <c r="S74" i="5"/>
  <c r="Y72" i="5"/>
  <c r="L72" i="5"/>
  <c r="P72" i="5"/>
  <c r="S72" i="5"/>
  <c r="AG70" i="5"/>
  <c r="L70" i="5"/>
  <c r="P70" i="5"/>
  <c r="S70" i="5"/>
  <c r="AC68" i="5"/>
  <c r="L68" i="5"/>
  <c r="P68" i="5"/>
  <c r="S68" i="5"/>
  <c r="Q66" i="5"/>
  <c r="L66" i="5"/>
  <c r="P66" i="5"/>
  <c r="S66" i="5"/>
  <c r="V64" i="5"/>
  <c r="L64" i="5"/>
  <c r="P64" i="5"/>
  <c r="S64" i="5"/>
  <c r="F62" i="5"/>
  <c r="O62" i="5"/>
  <c r="R62" i="5"/>
  <c r="AB62" i="5"/>
  <c r="AI50" i="5"/>
  <c r="AA50" i="5"/>
  <c r="S50" i="5"/>
  <c r="K50" i="5"/>
  <c r="AH50" i="5"/>
  <c r="Y50" i="5"/>
  <c r="P50" i="5"/>
  <c r="G50" i="5"/>
  <c r="AG50" i="5"/>
  <c r="X50" i="5"/>
  <c r="O50" i="5"/>
  <c r="F50" i="5"/>
  <c r="AF50" i="5"/>
  <c r="W50" i="5"/>
  <c r="N50" i="5"/>
  <c r="E50" i="5"/>
  <c r="AE50" i="5"/>
  <c r="V50" i="5"/>
  <c r="M50" i="5"/>
  <c r="AD50" i="5"/>
  <c r="U50" i="5"/>
  <c r="L50" i="5"/>
  <c r="AC50" i="5"/>
  <c r="T50" i="5"/>
  <c r="J50" i="5"/>
  <c r="AB50" i="5"/>
  <c r="R50" i="5"/>
  <c r="I50" i="5"/>
  <c r="Z50" i="5"/>
  <c r="Q50" i="5"/>
  <c r="G50" i="4"/>
  <c r="H50" i="4" s="1"/>
  <c r="H50" i="5"/>
  <c r="O50" i="3"/>
  <c r="K50" i="4" s="1"/>
  <c r="N50" i="3"/>
  <c r="V48" i="5"/>
  <c r="X48" i="5"/>
  <c r="Z48" i="5"/>
  <c r="AB48" i="5"/>
  <c r="AE40" i="5"/>
  <c r="AG40" i="5"/>
  <c r="AI40" i="5"/>
  <c r="AI30" i="5"/>
  <c r="AA30" i="5"/>
  <c r="S30" i="5"/>
  <c r="K30" i="5"/>
  <c r="AH30" i="5"/>
  <c r="Z30" i="5"/>
  <c r="R30" i="5"/>
  <c r="J30" i="5"/>
  <c r="AG30" i="5"/>
  <c r="Y30" i="5"/>
  <c r="Q30" i="5"/>
  <c r="I30" i="5"/>
  <c r="AF30" i="5"/>
  <c r="X30" i="5"/>
  <c r="P30" i="5"/>
  <c r="H30" i="5"/>
  <c r="AE30" i="5"/>
  <c r="W30" i="5"/>
  <c r="O30" i="5"/>
  <c r="G30" i="5"/>
  <c r="AD30" i="5"/>
  <c r="V30" i="5"/>
  <c r="N30" i="5"/>
  <c r="F30" i="5"/>
  <c r="AC30" i="5"/>
  <c r="U30" i="5"/>
  <c r="M30" i="5"/>
  <c r="E30" i="5"/>
  <c r="AB30" i="5"/>
  <c r="T30" i="5"/>
  <c r="G30" i="4"/>
  <c r="H30" i="4" s="1"/>
  <c r="O30" i="3"/>
  <c r="K30" i="4" s="1"/>
  <c r="L30" i="5"/>
  <c r="N30" i="3"/>
  <c r="AI14" i="5"/>
  <c r="AA14" i="5"/>
  <c r="S14" i="5"/>
  <c r="K14" i="5"/>
  <c r="AC14" i="5"/>
  <c r="T14" i="5"/>
  <c r="J14" i="5"/>
  <c r="AB14" i="5"/>
  <c r="R14" i="5"/>
  <c r="I14" i="5"/>
  <c r="Z14" i="5"/>
  <c r="Q14" i="5"/>
  <c r="H14" i="5"/>
  <c r="AH14" i="5"/>
  <c r="Y14" i="5"/>
  <c r="P14" i="5"/>
  <c r="G14" i="5"/>
  <c r="AG14" i="5"/>
  <c r="X14" i="5"/>
  <c r="O14" i="5"/>
  <c r="F14" i="5"/>
  <c r="AF14" i="5"/>
  <c r="W14" i="5"/>
  <c r="N14" i="5"/>
  <c r="E14" i="5"/>
  <c r="AE14" i="5"/>
  <c r="V14" i="5"/>
  <c r="M14" i="5"/>
  <c r="AD14" i="5"/>
  <c r="U14" i="5"/>
  <c r="G14" i="4"/>
  <c r="H14" i="4" s="1"/>
  <c r="L14" i="5"/>
  <c r="O14" i="3"/>
  <c r="K14" i="4" s="1"/>
  <c r="N14" i="3"/>
  <c r="AA75" i="5"/>
  <c r="AE19" i="5"/>
  <c r="W19" i="5"/>
  <c r="O19" i="5"/>
  <c r="G19" i="5"/>
  <c r="AD19" i="5"/>
  <c r="V19" i="5"/>
  <c r="N19" i="5"/>
  <c r="F19" i="5"/>
  <c r="AC19" i="5"/>
  <c r="U19" i="5"/>
  <c r="M19" i="5"/>
  <c r="E19" i="5"/>
  <c r="AI19" i="5"/>
  <c r="AA19" i="5"/>
  <c r="S19" i="5"/>
  <c r="K19" i="5"/>
  <c r="AH19" i="5"/>
  <c r="Z19" i="5"/>
  <c r="R19" i="5"/>
  <c r="J19" i="5"/>
  <c r="AG19" i="5"/>
  <c r="Y19" i="5"/>
  <c r="Q19" i="5"/>
  <c r="I19" i="5"/>
  <c r="H19" i="5"/>
  <c r="AF19" i="5"/>
  <c r="AB19" i="5"/>
  <c r="X19" i="5"/>
  <c r="T19" i="5"/>
  <c r="P19" i="5"/>
  <c r="O19" i="3"/>
  <c r="K19" i="4" s="1"/>
  <c r="N19" i="3"/>
  <c r="L19" i="5"/>
  <c r="G19" i="4"/>
  <c r="H19" i="4" s="1"/>
  <c r="P77" i="5"/>
  <c r="AB75" i="5"/>
  <c r="N69" i="5"/>
  <c r="AA63" i="5"/>
  <c r="AE51" i="5"/>
  <c r="W51" i="5"/>
  <c r="O51" i="5"/>
  <c r="G51" i="5"/>
  <c r="AI51" i="5"/>
  <c r="Z51" i="5"/>
  <c r="Q51" i="5"/>
  <c r="H51" i="5"/>
  <c r="AH51" i="5"/>
  <c r="Y51" i="5"/>
  <c r="P51" i="5"/>
  <c r="F51" i="5"/>
  <c r="AG51" i="5"/>
  <c r="X51" i="5"/>
  <c r="N51" i="5"/>
  <c r="E51" i="5"/>
  <c r="AF51" i="5"/>
  <c r="V51" i="5"/>
  <c r="M51" i="5"/>
  <c r="AD51" i="5"/>
  <c r="U51" i="5"/>
  <c r="L51" i="5"/>
  <c r="AC51" i="5"/>
  <c r="T51" i="5"/>
  <c r="K51" i="5"/>
  <c r="AB51" i="5"/>
  <c r="S51" i="5"/>
  <c r="J51" i="5"/>
  <c r="AA51" i="5"/>
  <c r="R51" i="5"/>
  <c r="I51" i="5"/>
  <c r="O51" i="3"/>
  <c r="K51" i="4" s="1"/>
  <c r="N51" i="3"/>
  <c r="G51" i="4"/>
  <c r="H51" i="4" s="1"/>
  <c r="AB47" i="5"/>
  <c r="R41" i="5"/>
  <c r="AE27" i="5"/>
  <c r="W27" i="5"/>
  <c r="O27" i="5"/>
  <c r="G27" i="5"/>
  <c r="AD27" i="5"/>
  <c r="V27" i="5"/>
  <c r="N27" i="5"/>
  <c r="F27" i="5"/>
  <c r="AC27" i="5"/>
  <c r="U27" i="5"/>
  <c r="M27" i="5"/>
  <c r="E27" i="5"/>
  <c r="AB27" i="5"/>
  <c r="T27" i="5"/>
  <c r="L27" i="5"/>
  <c r="AI27" i="5"/>
  <c r="AA27" i="5"/>
  <c r="S27" i="5"/>
  <c r="K27" i="5"/>
  <c r="AH27" i="5"/>
  <c r="Z27" i="5"/>
  <c r="R27" i="5"/>
  <c r="J27" i="5"/>
  <c r="AG27" i="5"/>
  <c r="Y27" i="5"/>
  <c r="Q27" i="5"/>
  <c r="I27" i="5"/>
  <c r="P27" i="5"/>
  <c r="H27" i="5"/>
  <c r="AF27" i="5"/>
  <c r="O27" i="3"/>
  <c r="K27" i="4" s="1"/>
  <c r="N27" i="3"/>
  <c r="X27" i="5"/>
  <c r="G27" i="4"/>
  <c r="H27" i="4" s="1"/>
  <c r="AD11" i="5"/>
  <c r="V11" i="5"/>
  <c r="N11" i="5"/>
  <c r="F11" i="5"/>
  <c r="AC11" i="5"/>
  <c r="U11" i="5"/>
  <c r="M11" i="5"/>
  <c r="E11" i="5"/>
  <c r="AB11" i="5"/>
  <c r="T11" i="5"/>
  <c r="L11" i="5"/>
  <c r="AI11" i="5"/>
  <c r="AA11" i="5"/>
  <c r="S11" i="5"/>
  <c r="K11" i="5"/>
  <c r="AH11" i="5"/>
  <c r="Z11" i="5"/>
  <c r="R11" i="5"/>
  <c r="J11" i="5"/>
  <c r="AG11" i="5"/>
  <c r="Y11" i="5"/>
  <c r="Q11" i="5"/>
  <c r="I11" i="5"/>
  <c r="AF11" i="5"/>
  <c r="AE11" i="5"/>
  <c r="O11" i="3"/>
  <c r="K11" i="4" s="1"/>
  <c r="X11" i="5"/>
  <c r="N11" i="3"/>
  <c r="W11" i="5"/>
  <c r="P11" i="5"/>
  <c r="O11" i="5"/>
  <c r="H11" i="5"/>
  <c r="G11" i="4"/>
  <c r="H11" i="4" s="1"/>
  <c r="G11" i="5"/>
  <c r="AB81" i="5"/>
  <c r="AE81" i="5"/>
  <c r="AC71" i="5"/>
  <c r="N67" i="5"/>
  <c r="Q84" i="5"/>
  <c r="V84" i="5"/>
  <c r="X84" i="5"/>
  <c r="AA84" i="5"/>
  <c r="V82" i="5"/>
  <c r="X82" i="5"/>
  <c r="AA82" i="5"/>
  <c r="AG80" i="5"/>
  <c r="V80" i="5"/>
  <c r="X80" i="5"/>
  <c r="AA80" i="5"/>
  <c r="I78" i="5"/>
  <c r="T78" i="5"/>
  <c r="X78" i="5"/>
  <c r="AA78" i="5"/>
  <c r="AG76" i="5"/>
  <c r="T76" i="5"/>
  <c r="X76" i="5"/>
  <c r="AA76" i="5"/>
  <c r="V74" i="5"/>
  <c r="T74" i="5"/>
  <c r="X74" i="5"/>
  <c r="AA74" i="5"/>
  <c r="F72" i="5"/>
  <c r="T72" i="5"/>
  <c r="X72" i="5"/>
  <c r="AA72" i="5"/>
  <c r="F70" i="5"/>
  <c r="T70" i="5"/>
  <c r="X70" i="5"/>
  <c r="AA70" i="5"/>
  <c r="M68" i="5"/>
  <c r="T68" i="5"/>
  <c r="X68" i="5"/>
  <c r="AA68" i="5"/>
  <c r="U66" i="5"/>
  <c r="T66" i="5"/>
  <c r="X66" i="5"/>
  <c r="AA66" i="5"/>
  <c r="T64" i="5"/>
  <c r="X64" i="5"/>
  <c r="AA64" i="5"/>
  <c r="W62" i="5"/>
  <c r="AA62" i="5"/>
  <c r="X62" i="5"/>
  <c r="AD48" i="5"/>
  <c r="AF48" i="5"/>
  <c r="AH48" i="5"/>
  <c r="AB46" i="5"/>
  <c r="T46" i="5"/>
  <c r="L46" i="5"/>
  <c r="AI46" i="5"/>
  <c r="AA46" i="5"/>
  <c r="S46" i="5"/>
  <c r="K46" i="5"/>
  <c r="AH46" i="5"/>
  <c r="Z46" i="5"/>
  <c r="R46" i="5"/>
  <c r="J46" i="5"/>
  <c r="AG46" i="5"/>
  <c r="Y46" i="5"/>
  <c r="Q46" i="5"/>
  <c r="I46" i="5"/>
  <c r="AF46" i="5"/>
  <c r="X46" i="5"/>
  <c r="P46" i="5"/>
  <c r="H46" i="5"/>
  <c r="AE46" i="5"/>
  <c r="W46" i="5"/>
  <c r="O46" i="5"/>
  <c r="G46" i="5"/>
  <c r="AD46" i="5"/>
  <c r="V46" i="5"/>
  <c r="N46" i="5"/>
  <c r="F46" i="5"/>
  <c r="U46" i="5"/>
  <c r="M46" i="5"/>
  <c r="E46" i="5"/>
  <c r="G46" i="4"/>
  <c r="H46" i="4" s="1"/>
  <c r="AC46" i="5"/>
  <c r="O46" i="3"/>
  <c r="K46" i="4" s="1"/>
  <c r="N46" i="3"/>
  <c r="F40" i="5"/>
  <c r="H40" i="5"/>
  <c r="J40" i="5"/>
  <c r="L40" i="5"/>
  <c r="AI28" i="5"/>
  <c r="AA28" i="5"/>
  <c r="S28" i="5"/>
  <c r="K28" i="5"/>
  <c r="AH28" i="5"/>
  <c r="Z28" i="5"/>
  <c r="R28" i="5"/>
  <c r="J28" i="5"/>
  <c r="AG28" i="5"/>
  <c r="Y28" i="5"/>
  <c r="Q28" i="5"/>
  <c r="I28" i="5"/>
  <c r="AF28" i="5"/>
  <c r="X28" i="5"/>
  <c r="P28" i="5"/>
  <c r="H28" i="5"/>
  <c r="AE28" i="5"/>
  <c r="W28" i="5"/>
  <c r="O28" i="5"/>
  <c r="G28" i="5"/>
  <c r="AD28" i="5"/>
  <c r="V28" i="5"/>
  <c r="N28" i="5"/>
  <c r="F28" i="5"/>
  <c r="AC28" i="5"/>
  <c r="U28" i="5"/>
  <c r="M28" i="5"/>
  <c r="E28" i="5"/>
  <c r="L28" i="5"/>
  <c r="AB28" i="5"/>
  <c r="T28" i="5"/>
  <c r="G28" i="4"/>
  <c r="H28" i="4" s="1"/>
  <c r="O28" i="3"/>
  <c r="K28" i="4" s="1"/>
  <c r="N28" i="3"/>
  <c r="AI12" i="5"/>
  <c r="AA12" i="5"/>
  <c r="S12" i="5"/>
  <c r="K12" i="5"/>
  <c r="AC12" i="5"/>
  <c r="T12" i="5"/>
  <c r="J12" i="5"/>
  <c r="AB12" i="5"/>
  <c r="R12" i="5"/>
  <c r="I12" i="5"/>
  <c r="Z12" i="5"/>
  <c r="Q12" i="5"/>
  <c r="H12" i="5"/>
  <c r="AH12" i="5"/>
  <c r="Y12" i="5"/>
  <c r="P12" i="5"/>
  <c r="G12" i="5"/>
  <c r="AG12" i="5"/>
  <c r="X12" i="5"/>
  <c r="O12" i="5"/>
  <c r="F12" i="5"/>
  <c r="AF12" i="5"/>
  <c r="W12" i="5"/>
  <c r="N12" i="5"/>
  <c r="E12" i="5"/>
  <c r="AE12" i="5"/>
  <c r="V12" i="5"/>
  <c r="M12" i="5"/>
  <c r="AD12" i="5"/>
  <c r="U12" i="5"/>
  <c r="G12" i="4"/>
  <c r="H12" i="4" s="1"/>
  <c r="L12" i="5"/>
  <c r="O12" i="3"/>
  <c r="K12" i="4" s="1"/>
  <c r="N12" i="3"/>
  <c r="R79" i="5"/>
  <c r="AB77" i="5"/>
  <c r="N73" i="5"/>
  <c r="R69" i="5"/>
  <c r="R65" i="5"/>
  <c r="AA65" i="5"/>
  <c r="N61" i="5"/>
  <c r="P61" i="5"/>
  <c r="AE49" i="5"/>
  <c r="W49" i="5"/>
  <c r="O49" i="5"/>
  <c r="AI49" i="5"/>
  <c r="Z49" i="5"/>
  <c r="Q49" i="5"/>
  <c r="H49" i="5"/>
  <c r="AH49" i="5"/>
  <c r="Y49" i="5"/>
  <c r="P49" i="5"/>
  <c r="G49" i="5"/>
  <c r="AG49" i="5"/>
  <c r="X49" i="5"/>
  <c r="N49" i="5"/>
  <c r="F49" i="5"/>
  <c r="AF49" i="5"/>
  <c r="V49" i="5"/>
  <c r="M49" i="5"/>
  <c r="E49" i="5"/>
  <c r="AD49" i="5"/>
  <c r="U49" i="5"/>
  <c r="L49" i="5"/>
  <c r="AC49" i="5"/>
  <c r="T49" i="5"/>
  <c r="K49" i="5"/>
  <c r="AB49" i="5"/>
  <c r="S49" i="5"/>
  <c r="J49" i="5"/>
  <c r="AA49" i="5"/>
  <c r="R49" i="5"/>
  <c r="I49" i="5"/>
  <c r="O49" i="3"/>
  <c r="K49" i="4" s="1"/>
  <c r="N49" i="3"/>
  <c r="G49" i="4"/>
  <c r="H49" i="4" s="1"/>
  <c r="AF45" i="5"/>
  <c r="X45" i="5"/>
  <c r="P45" i="5"/>
  <c r="H45" i="5"/>
  <c r="AE45" i="5"/>
  <c r="W45" i="5"/>
  <c r="O45" i="5"/>
  <c r="G45" i="5"/>
  <c r="AD45" i="5"/>
  <c r="V45" i="5"/>
  <c r="N45" i="5"/>
  <c r="F45" i="5"/>
  <c r="AC45" i="5"/>
  <c r="U45" i="5"/>
  <c r="M45" i="5"/>
  <c r="E45" i="5"/>
  <c r="AB45" i="5"/>
  <c r="T45" i="5"/>
  <c r="L45" i="5"/>
  <c r="AI45" i="5"/>
  <c r="AA45" i="5"/>
  <c r="S45" i="5"/>
  <c r="K45" i="5"/>
  <c r="AH45" i="5"/>
  <c r="Z45" i="5"/>
  <c r="R45" i="5"/>
  <c r="J45" i="5"/>
  <c r="AG45" i="5"/>
  <c r="Y45" i="5"/>
  <c r="Q45" i="5"/>
  <c r="I45" i="5"/>
  <c r="O45" i="3"/>
  <c r="K45" i="4" s="1"/>
  <c r="N45" i="3"/>
  <c r="G45" i="4"/>
  <c r="H45" i="4" s="1"/>
  <c r="AB41" i="5"/>
  <c r="AE25" i="5"/>
  <c r="W25" i="5"/>
  <c r="O25" i="5"/>
  <c r="G25" i="5"/>
  <c r="AD25" i="5"/>
  <c r="V25" i="5"/>
  <c r="N25" i="5"/>
  <c r="F25" i="5"/>
  <c r="AC25" i="5"/>
  <c r="U25" i="5"/>
  <c r="M25" i="5"/>
  <c r="E25" i="5"/>
  <c r="AB25" i="5"/>
  <c r="T25" i="5"/>
  <c r="L25" i="5"/>
  <c r="AI25" i="5"/>
  <c r="AA25" i="5"/>
  <c r="S25" i="5"/>
  <c r="K25" i="5"/>
  <c r="AH25" i="5"/>
  <c r="Z25" i="5"/>
  <c r="R25" i="5"/>
  <c r="J25" i="5"/>
  <c r="AG25" i="5"/>
  <c r="Y25" i="5"/>
  <c r="Q25" i="5"/>
  <c r="I25" i="5"/>
  <c r="X25" i="5"/>
  <c r="P25" i="5"/>
  <c r="H25" i="5"/>
  <c r="O25" i="3"/>
  <c r="K25" i="4" s="1"/>
  <c r="N25" i="3"/>
  <c r="AF25" i="5"/>
  <c r="G25" i="4"/>
  <c r="H25" i="4" s="1"/>
  <c r="AD9" i="5"/>
  <c r="V9" i="5"/>
  <c r="N9" i="5"/>
  <c r="F9" i="5"/>
  <c r="AC9" i="5"/>
  <c r="U9" i="5"/>
  <c r="M9" i="5"/>
  <c r="E9" i="5"/>
  <c r="AB9" i="5"/>
  <c r="T9" i="5"/>
  <c r="L9" i="5"/>
  <c r="AI9" i="5"/>
  <c r="AA9" i="5"/>
  <c r="S9" i="5"/>
  <c r="K9" i="5"/>
  <c r="AH9" i="5"/>
  <c r="Z9" i="5"/>
  <c r="R9" i="5"/>
  <c r="J9" i="5"/>
  <c r="AG9" i="5"/>
  <c r="Y9" i="5"/>
  <c r="Q9" i="5"/>
  <c r="I9" i="5"/>
  <c r="AF9" i="5"/>
  <c r="O9" i="3"/>
  <c r="K9" i="4" s="1"/>
  <c r="AE9" i="5"/>
  <c r="N9" i="3"/>
  <c r="X9" i="5"/>
  <c r="W9" i="5"/>
  <c r="G9" i="5"/>
  <c r="P9" i="5"/>
  <c r="O9" i="5"/>
  <c r="G9" i="4"/>
  <c r="H9" i="4" s="1"/>
  <c r="H9" i="5"/>
  <c r="N71" i="5"/>
  <c r="S67" i="5"/>
  <c r="V67" i="5"/>
  <c r="U84" i="5"/>
  <c r="AD84" i="5"/>
  <c r="AF84" i="5"/>
  <c r="AI84" i="5"/>
  <c r="AC82" i="5"/>
  <c r="AD82" i="5"/>
  <c r="AF82" i="5"/>
  <c r="AI82" i="5"/>
  <c r="AD80" i="5"/>
  <c r="AF80" i="5"/>
  <c r="AI80" i="5"/>
  <c r="AD78" i="5"/>
  <c r="AB78" i="5"/>
  <c r="AF78" i="5"/>
  <c r="AI78" i="5"/>
  <c r="N76" i="5"/>
  <c r="AB76" i="5"/>
  <c r="AF76" i="5"/>
  <c r="AI76" i="5"/>
  <c r="AB74" i="5"/>
  <c r="AF74" i="5"/>
  <c r="AI74" i="5"/>
  <c r="AC72" i="5"/>
  <c r="AB72" i="5"/>
  <c r="AF72" i="5"/>
  <c r="AI72" i="5"/>
  <c r="AC70" i="5"/>
  <c r="AB70" i="5"/>
  <c r="AF70" i="5"/>
  <c r="AI70" i="5"/>
  <c r="AG68" i="5"/>
  <c r="AB68" i="5"/>
  <c r="AF68" i="5"/>
  <c r="AI68" i="5"/>
  <c r="AB66" i="5"/>
  <c r="AF66" i="5"/>
  <c r="AI66" i="5"/>
  <c r="Y64" i="5"/>
  <c r="AB64" i="5"/>
  <c r="AF64" i="5"/>
  <c r="AI64" i="5"/>
  <c r="I62" i="5"/>
  <c r="AH62" i="5"/>
  <c r="K62" i="5"/>
  <c r="AF62" i="5"/>
  <c r="M48" i="5"/>
  <c r="G48" i="5"/>
  <c r="I48" i="5"/>
  <c r="AB44" i="5"/>
  <c r="T44" i="5"/>
  <c r="L44" i="5"/>
  <c r="AI44" i="5"/>
  <c r="AA44" i="5"/>
  <c r="S44" i="5"/>
  <c r="K44" i="5"/>
  <c r="AH44" i="5"/>
  <c r="Z44" i="5"/>
  <c r="R44" i="5"/>
  <c r="J44" i="5"/>
  <c r="AG44" i="5"/>
  <c r="Y44" i="5"/>
  <c r="Q44" i="5"/>
  <c r="I44" i="5"/>
  <c r="AF44" i="5"/>
  <c r="X44" i="5"/>
  <c r="P44" i="5"/>
  <c r="H44" i="5"/>
  <c r="AE44" i="5"/>
  <c r="W44" i="5"/>
  <c r="O44" i="5"/>
  <c r="G44" i="5"/>
  <c r="AD44" i="5"/>
  <c r="V44" i="5"/>
  <c r="N44" i="5"/>
  <c r="F44" i="5"/>
  <c r="AC44" i="5"/>
  <c r="U44" i="5"/>
  <c r="M44" i="5"/>
  <c r="E44" i="5"/>
  <c r="G44" i="4"/>
  <c r="H44" i="4" s="1"/>
  <c r="O44" i="3"/>
  <c r="K44" i="4" s="1"/>
  <c r="N44" i="3"/>
  <c r="N40" i="5"/>
  <c r="P40" i="5"/>
  <c r="R40" i="5"/>
  <c r="AI26" i="5"/>
  <c r="AA26" i="5"/>
  <c r="S26" i="5"/>
  <c r="K26" i="5"/>
  <c r="AH26" i="5"/>
  <c r="Z26" i="5"/>
  <c r="R26" i="5"/>
  <c r="J26" i="5"/>
  <c r="AG26" i="5"/>
  <c r="Y26" i="5"/>
  <c r="Q26" i="5"/>
  <c r="I26" i="5"/>
  <c r="AF26" i="5"/>
  <c r="X26" i="5"/>
  <c r="P26" i="5"/>
  <c r="H26" i="5"/>
  <c r="AE26" i="5"/>
  <c r="W26" i="5"/>
  <c r="O26" i="5"/>
  <c r="G26" i="5"/>
  <c r="AD26" i="5"/>
  <c r="V26" i="5"/>
  <c r="N26" i="5"/>
  <c r="F26" i="5"/>
  <c r="AC26" i="5"/>
  <c r="U26" i="5"/>
  <c r="M26" i="5"/>
  <c r="E26" i="5"/>
  <c r="T26" i="5"/>
  <c r="L26" i="5"/>
  <c r="G26" i="4"/>
  <c r="H26" i="4" s="1"/>
  <c r="O26" i="3"/>
  <c r="K26" i="4" s="1"/>
  <c r="AB26" i="5"/>
  <c r="N26" i="3"/>
  <c r="AH10" i="5"/>
  <c r="Z10" i="5"/>
  <c r="R10" i="5"/>
  <c r="J10" i="5"/>
  <c r="AG10" i="5"/>
  <c r="Y10" i="5"/>
  <c r="Q10" i="5"/>
  <c r="I10" i="5"/>
  <c r="AF10" i="5"/>
  <c r="X10" i="5"/>
  <c r="P10" i="5"/>
  <c r="H10" i="5"/>
  <c r="AE10" i="5"/>
  <c r="W10" i="5"/>
  <c r="O10" i="5"/>
  <c r="G10" i="5"/>
  <c r="AD10" i="5"/>
  <c r="V10" i="5"/>
  <c r="N10" i="5"/>
  <c r="F10" i="5"/>
  <c r="AC10" i="5"/>
  <c r="U10" i="5"/>
  <c r="M10" i="5"/>
  <c r="E10" i="5"/>
  <c r="S10" i="5"/>
  <c r="L10" i="5"/>
  <c r="G10" i="4"/>
  <c r="H10" i="4" s="1"/>
  <c r="K10" i="5"/>
  <c r="AI10" i="5"/>
  <c r="O10" i="3"/>
  <c r="K10" i="4" s="1"/>
  <c r="T10" i="5"/>
  <c r="AB10" i="5"/>
  <c r="N10" i="3"/>
  <c r="AA10" i="5"/>
  <c r="AA81" i="5"/>
  <c r="N75" i="5"/>
  <c r="N63" i="5"/>
  <c r="R63" i="5"/>
  <c r="AB63" i="5"/>
  <c r="AF43" i="5"/>
  <c r="X43" i="5"/>
  <c r="P43" i="5"/>
  <c r="H43" i="5"/>
  <c r="AE43" i="5"/>
  <c r="W43" i="5"/>
  <c r="O43" i="5"/>
  <c r="G43" i="5"/>
  <c r="AD43" i="5"/>
  <c r="V43" i="5"/>
  <c r="N43" i="5"/>
  <c r="F43" i="5"/>
  <c r="AC43" i="5"/>
  <c r="U43" i="5"/>
  <c r="M43" i="5"/>
  <c r="E43" i="5"/>
  <c r="AB43" i="5"/>
  <c r="T43" i="5"/>
  <c r="L43" i="5"/>
  <c r="AI43" i="5"/>
  <c r="AA43" i="5"/>
  <c r="S43" i="5"/>
  <c r="K43" i="5"/>
  <c r="AH43" i="5"/>
  <c r="Z43" i="5"/>
  <c r="R43" i="5"/>
  <c r="J43" i="5"/>
  <c r="AG43" i="5"/>
  <c r="Y43" i="5"/>
  <c r="Q43" i="5"/>
  <c r="I43" i="5"/>
  <c r="O43" i="3"/>
  <c r="K43" i="4" s="1"/>
  <c r="N43" i="3"/>
  <c r="G43" i="4"/>
  <c r="H43" i="4" s="1"/>
  <c r="AF39" i="5"/>
  <c r="X39" i="5"/>
  <c r="P39" i="5"/>
  <c r="H39" i="5"/>
  <c r="AE39" i="5"/>
  <c r="W39" i="5"/>
  <c r="O39" i="5"/>
  <c r="G39" i="5"/>
  <c r="AD39" i="5"/>
  <c r="V39" i="5"/>
  <c r="N39" i="5"/>
  <c r="F39" i="5"/>
  <c r="AC39" i="5"/>
  <c r="U39" i="5"/>
  <c r="M39" i="5"/>
  <c r="E39" i="5"/>
  <c r="AB39" i="5"/>
  <c r="T39" i="5"/>
  <c r="L39" i="5"/>
  <c r="AI39" i="5"/>
  <c r="AA39" i="5"/>
  <c r="S39" i="5"/>
  <c r="K39" i="5"/>
  <c r="AH39" i="5"/>
  <c r="Z39" i="5"/>
  <c r="R39" i="5"/>
  <c r="J39" i="5"/>
  <c r="Q39" i="5"/>
  <c r="I39" i="5"/>
  <c r="AG39" i="5"/>
  <c r="Y39" i="5"/>
  <c r="O39" i="3"/>
  <c r="K39" i="4" s="1"/>
  <c r="N39" i="3"/>
  <c r="G39" i="4"/>
  <c r="H39" i="4" s="1"/>
  <c r="AE23" i="5"/>
  <c r="W23" i="5"/>
  <c r="O23" i="5"/>
  <c r="G23" i="5"/>
  <c r="AD23" i="5"/>
  <c r="V23" i="5"/>
  <c r="N23" i="5"/>
  <c r="F23" i="5"/>
  <c r="AC23" i="5"/>
  <c r="U23" i="5"/>
  <c r="M23" i="5"/>
  <c r="E23" i="5"/>
  <c r="AB23" i="5"/>
  <c r="T23" i="5"/>
  <c r="L23" i="5"/>
  <c r="AI23" i="5"/>
  <c r="AA23" i="5"/>
  <c r="S23" i="5"/>
  <c r="K23" i="5"/>
  <c r="AH23" i="5"/>
  <c r="Z23" i="5"/>
  <c r="R23" i="5"/>
  <c r="J23" i="5"/>
  <c r="AG23" i="5"/>
  <c r="Y23" i="5"/>
  <c r="Q23" i="5"/>
  <c r="I23" i="5"/>
  <c r="AF23" i="5"/>
  <c r="X23" i="5"/>
  <c r="P23" i="5"/>
  <c r="H23" i="5"/>
  <c r="O23" i="3"/>
  <c r="K23" i="4" s="1"/>
  <c r="N23" i="3"/>
  <c r="G23" i="4"/>
  <c r="AD7" i="5"/>
  <c r="V7" i="5"/>
  <c r="N7" i="5"/>
  <c r="F7" i="5"/>
  <c r="AC7" i="5"/>
  <c r="U7" i="5"/>
  <c r="M7" i="5"/>
  <c r="E7" i="5"/>
  <c r="AB7" i="5"/>
  <c r="T7" i="5"/>
  <c r="L7" i="5"/>
  <c r="AI7" i="5"/>
  <c r="AA7" i="5"/>
  <c r="S7" i="5"/>
  <c r="K7" i="5"/>
  <c r="AH7" i="5"/>
  <c r="Z7" i="5"/>
  <c r="R7" i="5"/>
  <c r="J7" i="5"/>
  <c r="AG7" i="5"/>
  <c r="Y7" i="5"/>
  <c r="Q7" i="5"/>
  <c r="I7" i="5"/>
  <c r="G7" i="5"/>
  <c r="O7" i="3"/>
  <c r="K7" i="4" s="1"/>
  <c r="AF7" i="5"/>
  <c r="N7" i="3"/>
  <c r="AE7" i="5"/>
  <c r="X7" i="5"/>
  <c r="W7" i="5"/>
  <c r="H7" i="5"/>
  <c r="P7" i="5"/>
  <c r="G7" i="4"/>
  <c r="H7" i="4" s="1"/>
  <c r="O7" i="5"/>
  <c r="N81" i="5"/>
  <c r="AA67" i="5"/>
  <c r="AG82" i="5"/>
  <c r="Q76" i="5"/>
  <c r="G76" i="5"/>
  <c r="G74" i="5"/>
  <c r="I72" i="5"/>
  <c r="G72" i="5"/>
  <c r="J72" i="5"/>
  <c r="I70" i="5"/>
  <c r="G70" i="5"/>
  <c r="J70" i="5"/>
  <c r="N68" i="5"/>
  <c r="G68" i="5"/>
  <c r="J68" i="5"/>
  <c r="Y66" i="5"/>
  <c r="G66" i="5"/>
  <c r="J66" i="5"/>
  <c r="AG62" i="5"/>
  <c r="S62" i="5"/>
  <c r="AB60" i="5"/>
  <c r="T60" i="5"/>
  <c r="L60" i="5"/>
  <c r="AI60" i="5"/>
  <c r="AA60" i="5"/>
  <c r="S60" i="5"/>
  <c r="K60" i="5"/>
  <c r="AH60" i="5"/>
  <c r="Z60" i="5"/>
  <c r="R60" i="5"/>
  <c r="J60" i="5"/>
  <c r="AF60" i="5"/>
  <c r="X60" i="5"/>
  <c r="P60" i="5"/>
  <c r="H60" i="5"/>
  <c r="AE60" i="5"/>
  <c r="W60" i="5"/>
  <c r="O60" i="5"/>
  <c r="G60" i="5"/>
  <c r="V60" i="5"/>
  <c r="U60" i="5"/>
  <c r="Q60" i="5"/>
  <c r="N60" i="5"/>
  <c r="AG60" i="5"/>
  <c r="M60" i="5"/>
  <c r="AD60" i="5"/>
  <c r="I60" i="5"/>
  <c r="AC60" i="5"/>
  <c r="F60" i="5"/>
  <c r="Y60" i="5"/>
  <c r="G60" i="4"/>
  <c r="H60" i="4" s="1"/>
  <c r="E60" i="5"/>
  <c r="O60" i="3"/>
  <c r="K60" i="4" s="1"/>
  <c r="N60" i="3"/>
  <c r="U48" i="5"/>
  <c r="O48" i="5"/>
  <c r="Q48" i="5"/>
  <c r="S48" i="5"/>
  <c r="AB42" i="5"/>
  <c r="T42" i="5"/>
  <c r="L42" i="5"/>
  <c r="AI42" i="5"/>
  <c r="AA42" i="5"/>
  <c r="S42" i="5"/>
  <c r="K42" i="5"/>
  <c r="AH42" i="5"/>
  <c r="Z42" i="5"/>
  <c r="R42" i="5"/>
  <c r="J42" i="5"/>
  <c r="AG42" i="5"/>
  <c r="Y42" i="5"/>
  <c r="Q42" i="5"/>
  <c r="I42" i="5"/>
  <c r="AF42" i="5"/>
  <c r="X42" i="5"/>
  <c r="P42" i="5"/>
  <c r="H42" i="5"/>
  <c r="AE42" i="5"/>
  <c r="W42" i="5"/>
  <c r="O42" i="5"/>
  <c r="G42" i="5"/>
  <c r="AD42" i="5"/>
  <c r="V42" i="5"/>
  <c r="N42" i="5"/>
  <c r="F42" i="5"/>
  <c r="AC42" i="5"/>
  <c r="U42" i="5"/>
  <c r="M42" i="5"/>
  <c r="E42" i="5"/>
  <c r="G42" i="4"/>
  <c r="H42" i="4" s="1"/>
  <c r="O42" i="3"/>
  <c r="K42" i="4" s="1"/>
  <c r="N42" i="3"/>
  <c r="AB40" i="5"/>
  <c r="AI24" i="5"/>
  <c r="AA24" i="5"/>
  <c r="S24" i="5"/>
  <c r="K24" i="5"/>
  <c r="AH24" i="5"/>
  <c r="Z24" i="5"/>
  <c r="R24" i="5"/>
  <c r="J24" i="5"/>
  <c r="AG24" i="5"/>
  <c r="Y24" i="5"/>
  <c r="Q24" i="5"/>
  <c r="I24" i="5"/>
  <c r="AF24" i="5"/>
  <c r="X24" i="5"/>
  <c r="P24" i="5"/>
  <c r="H24" i="5"/>
  <c r="AE24" i="5"/>
  <c r="W24" i="5"/>
  <c r="O24" i="5"/>
  <c r="G24" i="5"/>
  <c r="AD24" i="5"/>
  <c r="V24" i="5"/>
  <c r="N24" i="5"/>
  <c r="F24" i="5"/>
  <c r="AC24" i="5"/>
  <c r="U24" i="5"/>
  <c r="M24" i="5"/>
  <c r="E24" i="5"/>
  <c r="AB24" i="5"/>
  <c r="T24" i="5"/>
  <c r="L24" i="5"/>
  <c r="G24" i="4"/>
  <c r="H24" i="4" s="1"/>
  <c r="O24" i="3"/>
  <c r="K24" i="4" s="1"/>
  <c r="N24" i="3"/>
  <c r="AH8" i="5"/>
  <c r="Z8" i="5"/>
  <c r="R8" i="5"/>
  <c r="J8" i="5"/>
  <c r="AG8" i="5"/>
  <c r="Y8" i="5"/>
  <c r="Q8" i="5"/>
  <c r="I8" i="5"/>
  <c r="AF8" i="5"/>
  <c r="X8" i="5"/>
  <c r="P8" i="5"/>
  <c r="H8" i="5"/>
  <c r="AE8" i="5"/>
  <c r="W8" i="5"/>
  <c r="O8" i="5"/>
  <c r="G8" i="5"/>
  <c r="AD8" i="5"/>
  <c r="V8" i="5"/>
  <c r="N8" i="5"/>
  <c r="F8" i="5"/>
  <c r="AC8" i="5"/>
  <c r="U8" i="5"/>
  <c r="M8" i="5"/>
  <c r="E8" i="5"/>
  <c r="T8" i="5"/>
  <c r="S8" i="5"/>
  <c r="G8" i="4"/>
  <c r="H8" i="4" s="1"/>
  <c r="L8" i="5"/>
  <c r="K8" i="5"/>
  <c r="O8" i="3"/>
  <c r="K8" i="4" s="1"/>
  <c r="AA8" i="5"/>
  <c r="AI8" i="5"/>
  <c r="N8" i="3"/>
  <c r="AB8" i="5"/>
  <c r="AF59" i="5"/>
  <c r="X59" i="5"/>
  <c r="P59" i="5"/>
  <c r="H59" i="5"/>
  <c r="AE59" i="5"/>
  <c r="W59" i="5"/>
  <c r="O59" i="5"/>
  <c r="G59" i="5"/>
  <c r="AD59" i="5"/>
  <c r="V59" i="5"/>
  <c r="N59" i="5"/>
  <c r="F59" i="5"/>
  <c r="AB59" i="5"/>
  <c r="T59" i="5"/>
  <c r="L59" i="5"/>
  <c r="AI59" i="5"/>
  <c r="AA59" i="5"/>
  <c r="S59" i="5"/>
  <c r="K59" i="5"/>
  <c r="Z59" i="5"/>
  <c r="E59" i="5"/>
  <c r="Y59" i="5"/>
  <c r="U59" i="5"/>
  <c r="R59" i="5"/>
  <c r="Q59" i="5"/>
  <c r="AH59" i="5"/>
  <c r="M59" i="5"/>
  <c r="AG59" i="5"/>
  <c r="J59" i="5"/>
  <c r="AC59" i="5"/>
  <c r="I59" i="5"/>
  <c r="O59" i="3"/>
  <c r="K59" i="4" s="1"/>
  <c r="N59" i="3"/>
  <c r="G59" i="4"/>
  <c r="H59" i="4" s="1"/>
  <c r="R83" i="5"/>
  <c r="R73" i="5"/>
  <c r="AA69" i="5"/>
  <c r="AA73" i="5"/>
  <c r="AI69" i="5"/>
  <c r="AA61" i="5"/>
  <c r="S47" i="5"/>
  <c r="AF37" i="5"/>
  <c r="X37" i="5"/>
  <c r="P37" i="5"/>
  <c r="H37" i="5"/>
  <c r="AE37" i="5"/>
  <c r="W37" i="5"/>
  <c r="O37" i="5"/>
  <c r="G37" i="5"/>
  <c r="AD37" i="5"/>
  <c r="V37" i="5"/>
  <c r="N37" i="5"/>
  <c r="F37" i="5"/>
  <c r="AB37" i="5"/>
  <c r="T37" i="5"/>
  <c r="L37" i="5"/>
  <c r="AA37" i="5"/>
  <c r="K37" i="5"/>
  <c r="Z37" i="5"/>
  <c r="J37" i="5"/>
  <c r="Y37" i="5"/>
  <c r="I37" i="5"/>
  <c r="U37" i="5"/>
  <c r="E37" i="5"/>
  <c r="AI37" i="5"/>
  <c r="S37" i="5"/>
  <c r="AH37" i="5"/>
  <c r="R37" i="5"/>
  <c r="AG37" i="5"/>
  <c r="Q37" i="5"/>
  <c r="AC37" i="5"/>
  <c r="M37" i="5"/>
  <c r="O37" i="3"/>
  <c r="K37" i="4" s="1"/>
  <c r="N37" i="3"/>
  <c r="G37" i="4"/>
  <c r="H37" i="4" s="1"/>
  <c r="AE21" i="5"/>
  <c r="W21" i="5"/>
  <c r="O21" i="5"/>
  <c r="G21" i="5"/>
  <c r="AD21" i="5"/>
  <c r="V21" i="5"/>
  <c r="N21" i="5"/>
  <c r="F21" i="5"/>
  <c r="AC21" i="5"/>
  <c r="U21" i="5"/>
  <c r="M21" i="5"/>
  <c r="E21" i="5"/>
  <c r="AB21" i="5"/>
  <c r="T21" i="5"/>
  <c r="L21" i="5"/>
  <c r="AI21" i="5"/>
  <c r="AA21" i="5"/>
  <c r="S21" i="5"/>
  <c r="K21" i="5"/>
  <c r="AH21" i="5"/>
  <c r="Z21" i="5"/>
  <c r="R21" i="5"/>
  <c r="J21" i="5"/>
  <c r="AG21" i="5"/>
  <c r="Y21" i="5"/>
  <c r="Q21" i="5"/>
  <c r="I21" i="5"/>
  <c r="AF21" i="5"/>
  <c r="X21" i="5"/>
  <c r="P21" i="5"/>
  <c r="H21" i="5"/>
  <c r="O21" i="3"/>
  <c r="K21" i="4" s="1"/>
  <c r="N21" i="3"/>
  <c r="G21" i="4"/>
  <c r="H21" i="4" s="1"/>
  <c r="AD5" i="5"/>
  <c r="V5" i="5"/>
  <c r="N5" i="5"/>
  <c r="F5" i="5"/>
  <c r="AC5" i="5"/>
  <c r="U5" i="5"/>
  <c r="M5" i="5"/>
  <c r="E5" i="5"/>
  <c r="AB5" i="5"/>
  <c r="T5" i="5"/>
  <c r="L5" i="5"/>
  <c r="AI5" i="5"/>
  <c r="AA5" i="5"/>
  <c r="S5" i="5"/>
  <c r="K5" i="5"/>
  <c r="AH5" i="5"/>
  <c r="Z5" i="5"/>
  <c r="R5" i="5"/>
  <c r="J5" i="5"/>
  <c r="AG5" i="5"/>
  <c r="Y5" i="5"/>
  <c r="Q5" i="5"/>
  <c r="I5" i="5"/>
  <c r="H5" i="5"/>
  <c r="O5" i="3"/>
  <c r="G5" i="5"/>
  <c r="N5" i="3"/>
  <c r="AF5" i="5"/>
  <c r="AE5" i="5"/>
  <c r="X5" i="5"/>
  <c r="O5" i="5"/>
  <c r="W5" i="5"/>
  <c r="G5" i="4"/>
  <c r="H5" i="4" s="1"/>
  <c r="P5" i="5"/>
  <c r="AC81" i="5"/>
  <c r="P81" i="5"/>
  <c r="AA71" i="5"/>
  <c r="AG67" i="5"/>
  <c r="AC67" i="5"/>
  <c r="H23" i="4"/>
  <c r="AC84" i="5"/>
  <c r="L84" i="5"/>
  <c r="O84" i="5"/>
  <c r="R84" i="5"/>
  <c r="L82" i="5"/>
  <c r="O82" i="5"/>
  <c r="R82" i="5"/>
  <c r="M80" i="5"/>
  <c r="O80" i="5"/>
  <c r="R80" i="5"/>
  <c r="O78" i="5"/>
  <c r="R78" i="5"/>
  <c r="F76" i="5"/>
  <c r="U76" i="5"/>
  <c r="O76" i="5"/>
  <c r="R76" i="5"/>
  <c r="M74" i="5"/>
  <c r="F74" i="5"/>
  <c r="O74" i="5"/>
  <c r="R74" i="5"/>
  <c r="Q72" i="5"/>
  <c r="AD72" i="5"/>
  <c r="O72" i="5"/>
  <c r="R72" i="5"/>
  <c r="AD70" i="5"/>
  <c r="O70" i="5"/>
  <c r="R70" i="5"/>
  <c r="AD68" i="5"/>
  <c r="U68" i="5"/>
  <c r="O68" i="5"/>
  <c r="R68" i="5"/>
  <c r="M66" i="5"/>
  <c r="O66" i="5"/>
  <c r="R66" i="5"/>
  <c r="AD64" i="5"/>
  <c r="M62" i="5"/>
  <c r="AC62" i="5"/>
  <c r="AB58" i="5"/>
  <c r="T58" i="5"/>
  <c r="L58" i="5"/>
  <c r="AI58" i="5"/>
  <c r="AA58" i="5"/>
  <c r="S58" i="5"/>
  <c r="K58" i="5"/>
  <c r="AH58" i="5"/>
  <c r="Z58" i="5"/>
  <c r="R58" i="5"/>
  <c r="J58" i="5"/>
  <c r="AF58" i="5"/>
  <c r="X58" i="5"/>
  <c r="P58" i="5"/>
  <c r="H58" i="5"/>
  <c r="AE58" i="5"/>
  <c r="W58" i="5"/>
  <c r="O58" i="5"/>
  <c r="G58" i="5"/>
  <c r="AC58" i="5"/>
  <c r="F58" i="5"/>
  <c r="Y58" i="5"/>
  <c r="E58" i="5"/>
  <c r="V58" i="5"/>
  <c r="U58" i="5"/>
  <c r="Q58" i="5"/>
  <c r="N58" i="5"/>
  <c r="AG58" i="5"/>
  <c r="M58" i="5"/>
  <c r="AD58" i="5"/>
  <c r="I58" i="5"/>
  <c r="G58" i="4"/>
  <c r="H58" i="4" s="1"/>
  <c r="O58" i="3"/>
  <c r="K58" i="4" s="1"/>
  <c r="N58" i="3"/>
  <c r="AB38" i="5"/>
  <c r="T38" i="5"/>
  <c r="L38" i="5"/>
  <c r="AI38" i="5"/>
  <c r="AA38" i="5"/>
  <c r="S38" i="5"/>
  <c r="K38" i="5"/>
  <c r="AH38" i="5"/>
  <c r="Z38" i="5"/>
  <c r="R38" i="5"/>
  <c r="J38" i="5"/>
  <c r="AG38" i="5"/>
  <c r="Y38" i="5"/>
  <c r="AF38" i="5"/>
  <c r="X38" i="5"/>
  <c r="P38" i="5"/>
  <c r="H38" i="5"/>
  <c r="AE38" i="5"/>
  <c r="W38" i="5"/>
  <c r="AD38" i="5"/>
  <c r="V38" i="5"/>
  <c r="N38" i="5"/>
  <c r="F38" i="5"/>
  <c r="U38" i="5"/>
  <c r="Q38" i="5"/>
  <c r="O38" i="5"/>
  <c r="M38" i="5"/>
  <c r="I38" i="5"/>
  <c r="G38" i="5"/>
  <c r="E38" i="5"/>
  <c r="AC38" i="5"/>
  <c r="G38" i="4"/>
  <c r="H38" i="4" s="1"/>
  <c r="O38" i="3"/>
  <c r="K38" i="4" s="1"/>
  <c r="N38" i="3"/>
  <c r="AI22" i="5"/>
  <c r="AA22" i="5"/>
  <c r="S22" i="5"/>
  <c r="K22" i="5"/>
  <c r="AH22" i="5"/>
  <c r="Z22" i="5"/>
  <c r="R22" i="5"/>
  <c r="J22" i="5"/>
  <c r="AG22" i="5"/>
  <c r="Y22" i="5"/>
  <c r="Q22" i="5"/>
  <c r="I22" i="5"/>
  <c r="AF22" i="5"/>
  <c r="X22" i="5"/>
  <c r="P22" i="5"/>
  <c r="H22" i="5"/>
  <c r="AE22" i="5"/>
  <c r="W22" i="5"/>
  <c r="O22" i="5"/>
  <c r="G22" i="5"/>
  <c r="AD22" i="5"/>
  <c r="V22" i="5"/>
  <c r="N22" i="5"/>
  <c r="F22" i="5"/>
  <c r="AC22" i="5"/>
  <c r="U22" i="5"/>
  <c r="M22" i="5"/>
  <c r="E22" i="5"/>
  <c r="AB22" i="5"/>
  <c r="T22" i="5"/>
  <c r="L22" i="5"/>
  <c r="G22" i="4"/>
  <c r="H22" i="4" s="1"/>
  <c r="O22" i="3"/>
  <c r="K22" i="4" s="1"/>
  <c r="N22" i="3"/>
  <c r="AH6" i="5"/>
  <c r="Z6" i="5"/>
  <c r="R6" i="5"/>
  <c r="J6" i="5"/>
  <c r="AG6" i="5"/>
  <c r="Y6" i="5"/>
  <c r="Q6" i="5"/>
  <c r="I6" i="5"/>
  <c r="AF6" i="5"/>
  <c r="X6" i="5"/>
  <c r="P6" i="5"/>
  <c r="H6" i="5"/>
  <c r="AE6" i="5"/>
  <c r="W6" i="5"/>
  <c r="O6" i="5"/>
  <c r="G6" i="5"/>
  <c r="AD6" i="5"/>
  <c r="V6" i="5"/>
  <c r="N6" i="5"/>
  <c r="F6" i="5"/>
  <c r="AC6" i="5"/>
  <c r="U6" i="5"/>
  <c r="M6" i="5"/>
  <c r="E6" i="5"/>
  <c r="AA6" i="5"/>
  <c r="T6" i="5"/>
  <c r="G6" i="4"/>
  <c r="H6" i="4" s="1"/>
  <c r="S6" i="5"/>
  <c r="L6" i="5"/>
  <c r="K6" i="5"/>
  <c r="O6" i="3"/>
  <c r="K6" i="4" s="1"/>
  <c r="AB6" i="5"/>
  <c r="N6" i="3"/>
  <c r="AI6" i="5"/>
  <c r="B10" i="6" l="1"/>
  <c r="B11" i="6"/>
  <c r="B9" i="6"/>
  <c r="K5" i="4"/>
</calcChain>
</file>

<file path=xl/sharedStrings.xml><?xml version="1.0" encoding="utf-8"?>
<sst xmlns="http://schemas.openxmlformats.org/spreadsheetml/2006/main" count="693" uniqueCount="176">
  <si>
    <t>CONFIGURACIÓN Y GUÍA DE USO</t>
  </si>
  <si>
    <t>Año de planificación</t>
  </si>
  <si>
    <t>Mes de planificación</t>
  </si>
  <si>
    <t>Primer día del mes</t>
  </si>
  <si>
    <t>Último día del mes</t>
  </si>
  <si>
    <t>Fecha de consulta</t>
  </si>
  <si>
    <t>INSTRUCCIONES</t>
  </si>
  <si>
    <t>1. Cambie año y mes en B4 y B5; calendario y entregas se actualizan.</t>
  </si>
  <si>
    <t>2. Edite las fechas y responsables en ACTIVIDADES (amarillo = dato por completar).</t>
  </si>
  <si>
    <t>3. En ACTIVIDADES actualice Estado, avance y fecha real de entrega.</t>
  </si>
  <si>
    <t>4. Agregue actividades extraordinarias en las filas libres de ACTIVIDADES.</t>
  </si>
  <si>
    <t>5. El calendario y la EDT usan el mismo código de actividad.</t>
  </si>
  <si>
    <t>6. Las fechas que cruzan fin de mes requieren confirmar el mes de entrega.</t>
  </si>
  <si>
    <t>CARTERA DE PROYECTOS ACTIVOS</t>
  </si>
  <si>
    <t>Proyecto</t>
  </si>
  <si>
    <t>Estado</t>
  </si>
  <si>
    <t>Supervisor principal</t>
  </si>
  <si>
    <t>Supervisor de apoyo</t>
  </si>
  <si>
    <t>Observaciones</t>
  </si>
  <si>
    <t>Última actualización</t>
  </si>
  <si>
    <t>CDJ GUAYAQUIL</t>
  </si>
  <si>
    <t>Activo</t>
  </si>
  <si>
    <t>EDDY VELEZ</t>
  </si>
  <si>
    <t>Asignación editable</t>
  </si>
  <si>
    <t>CDJ CANTONES</t>
  </si>
  <si>
    <t>LUIS HARO</t>
  </si>
  <si>
    <t>HOSP. MERCED</t>
  </si>
  <si>
    <t>SECAP</t>
  </si>
  <si>
    <t>SENAE</t>
  </si>
  <si>
    <t>CELEC - ORIENTE</t>
  </si>
  <si>
    <t>CELEC - GUAYAQUIL</t>
  </si>
  <si>
    <t>MSP</t>
  </si>
  <si>
    <t>PLAN MAESTRO DE ACTIVIDADES | EDITABLE</t>
  </si>
  <si>
    <t>Código EDT</t>
  </si>
  <si>
    <t>Tipo</t>
  </si>
  <si>
    <t>Actividad / entregable</t>
  </si>
  <si>
    <t>Responsable</t>
  </si>
  <si>
    <t>Día inicio</t>
  </si>
  <si>
    <t>Día límite</t>
  </si>
  <si>
    <t>Inicio planificado</t>
  </si>
  <si>
    <t>Entrega límite</t>
  </si>
  <si>
    <t>Fecha entrega real</t>
  </si>
  <si>
    <t>Prioridad</t>
  </si>
  <si>
    <t>Avance %</t>
  </si>
  <si>
    <t>Días restantes</t>
  </si>
  <si>
    <t>Semáforo</t>
  </si>
  <si>
    <t>Fuente / referencia</t>
  </si>
  <si>
    <t>01.01</t>
  </si>
  <si>
    <t>Informe</t>
  </si>
  <si>
    <t>Solicitar y entregar informe mensual</t>
  </si>
  <si>
    <t>Pendiente</t>
  </si>
  <si>
    <t>Alta</t>
  </si>
  <si>
    <t>Fechas del cronograma de informes de agosto 2026</t>
  </si>
  <si>
    <t>Imagen: cronograma de informes</t>
  </si>
  <si>
    <t>01.02</t>
  </si>
  <si>
    <t>Abastecimiento</t>
  </si>
  <si>
    <t>Solicitar requerimientos de insumos</t>
  </si>
  <si>
    <t>Fechas del cronograma de abastecimiento de septiembre 2026</t>
  </si>
  <si>
    <t>Imagen: cronograma abastecimiento</t>
  </si>
  <si>
    <t>01.03</t>
  </si>
  <si>
    <t>Corte</t>
  </si>
  <si>
    <t>Preparar y entregar corte del día 5</t>
  </si>
  <si>
    <t>Corte fijo mensual; confirmar responsable</t>
  </si>
  <si>
    <t>Indicaciones de coordinación</t>
  </si>
  <si>
    <t>01.04</t>
  </si>
  <si>
    <t>Preparar y entregar corte del día 10</t>
  </si>
  <si>
    <t>01.05</t>
  </si>
  <si>
    <t>Preparar y entregar corte del día 20</t>
  </si>
  <si>
    <t>01.06</t>
  </si>
  <si>
    <t>Preparar y entregar corte del día 26</t>
  </si>
  <si>
    <t>01.07</t>
  </si>
  <si>
    <t>Preparar y entregar corte del día 30</t>
  </si>
  <si>
    <t>02.01</t>
  </si>
  <si>
    <t>02.02</t>
  </si>
  <si>
    <t>02.03</t>
  </si>
  <si>
    <t>02.04</t>
  </si>
  <si>
    <t>02.05</t>
  </si>
  <si>
    <t>02.06</t>
  </si>
  <si>
    <t>02.07</t>
  </si>
  <si>
    <t>03.01</t>
  </si>
  <si>
    <t>03.02</t>
  </si>
  <si>
    <t>03.03</t>
  </si>
  <si>
    <t>03.04</t>
  </si>
  <si>
    <t>03.05</t>
  </si>
  <si>
    <t>03.06</t>
  </si>
  <si>
    <t>03.07</t>
  </si>
  <si>
    <t>04.01</t>
  </si>
  <si>
    <t>04.02</t>
  </si>
  <si>
    <t>04.03</t>
  </si>
  <si>
    <t>04.04</t>
  </si>
  <si>
    <t>04.05</t>
  </si>
  <si>
    <t>04.06</t>
  </si>
  <si>
    <t>04.07</t>
  </si>
  <si>
    <t>05.01</t>
  </si>
  <si>
    <t>05.02</t>
  </si>
  <si>
    <t>05.03</t>
  </si>
  <si>
    <t>05.04</t>
  </si>
  <si>
    <t>05.05</t>
  </si>
  <si>
    <t>05.06</t>
  </si>
  <si>
    <t>05.07</t>
  </si>
  <si>
    <t>06.01</t>
  </si>
  <si>
    <t>PENDIENTE: completar fechas y responsable</t>
  </si>
  <si>
    <t>Por definir</t>
  </si>
  <si>
    <t>06.02</t>
  </si>
  <si>
    <t>06.03</t>
  </si>
  <si>
    <t>06.04</t>
  </si>
  <si>
    <t>06.05</t>
  </si>
  <si>
    <t>06.06</t>
  </si>
  <si>
    <t>06.07</t>
  </si>
  <si>
    <t>07.01</t>
  </si>
  <si>
    <t>07.02</t>
  </si>
  <si>
    <t>07.03</t>
  </si>
  <si>
    <t>07.04</t>
  </si>
  <si>
    <t>07.05</t>
  </si>
  <si>
    <t>07.06</t>
  </si>
  <si>
    <t>07.07</t>
  </si>
  <si>
    <t>08.01</t>
  </si>
  <si>
    <t>08.02</t>
  </si>
  <si>
    <t>08.03</t>
  </si>
  <si>
    <t>08.04</t>
  </si>
  <si>
    <t>08.05</t>
  </si>
  <si>
    <t>08.06</t>
  </si>
  <si>
    <t>08.07</t>
  </si>
  <si>
    <t>EX.01</t>
  </si>
  <si>
    <t>Extraordinaria</t>
  </si>
  <si>
    <t>Media</t>
  </si>
  <si>
    <t>Registro disponible para nuevas actividades</t>
  </si>
  <si>
    <t>EX.02</t>
  </si>
  <si>
    <t>No planificada</t>
  </si>
  <si>
    <t>EX.03</t>
  </si>
  <si>
    <t>EX.04</t>
  </si>
  <si>
    <t>EX.05</t>
  </si>
  <si>
    <t>EX.06</t>
  </si>
  <si>
    <t>EX.07</t>
  </si>
  <si>
    <t>EX.08</t>
  </si>
  <si>
    <t>EX.09</t>
  </si>
  <si>
    <t>EX.10</t>
  </si>
  <si>
    <t>EX.11</t>
  </si>
  <si>
    <t>EX.12</t>
  </si>
  <si>
    <t>EX.13</t>
  </si>
  <si>
    <t>EX.14</t>
  </si>
  <si>
    <t>EX.15</t>
  </si>
  <si>
    <t>EX.16</t>
  </si>
  <si>
    <t>EX.17</t>
  </si>
  <si>
    <t>EX.18</t>
  </si>
  <si>
    <t>EX.19</t>
  </si>
  <si>
    <t>EX.20</t>
  </si>
  <si>
    <t>EX.21</t>
  </si>
  <si>
    <t>EX.22</t>
  </si>
  <si>
    <t>EX.23</t>
  </si>
  <si>
    <t>EX.24</t>
  </si>
  <si>
    <t>EDT | ENTREGABLES, PLAZOS Y SEGUIMIENTO</t>
  </si>
  <si>
    <t>Paquete de trabajo</t>
  </si>
  <si>
    <t>Entregable</t>
  </si>
  <si>
    <t>Inicio</t>
  </si>
  <si>
    <t>Fecha límite</t>
  </si>
  <si>
    <t>Días disponibles</t>
  </si>
  <si>
    <t>Avance</t>
  </si>
  <si>
    <t>Alerta</t>
  </si>
  <si>
    <t>Dependencia / nota</t>
  </si>
  <si>
    <t>CALENDARIO MENSUAL | FECHAS DE ENTREGA</t>
  </si>
  <si>
    <t>TABLERO DE CONTROL | SUPERVISIÓN</t>
  </si>
  <si>
    <t>Indicador</t>
  </si>
  <si>
    <t>Cantidad</t>
  </si>
  <si>
    <t>Informes</t>
  </si>
  <si>
    <t>Cortes</t>
  </si>
  <si>
    <t>Actividades registradas</t>
  </si>
  <si>
    <t>Pendientes</t>
  </si>
  <si>
    <t>En proceso</t>
  </si>
  <si>
    <t>Cerradas</t>
  </si>
  <si>
    <t>Vencidas</t>
  </si>
  <si>
    <t>Próximas (3 días)</t>
  </si>
  <si>
    <t>Sin fecha límite</t>
  </si>
  <si>
    <t>CRITERIOS DE CONTROL</t>
  </si>
  <si>
    <t>● entrega límite | · ventana de trabajo | Las fechas de los informes pueden variar entre meses; revisar y actualizar antes de ejecutar.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</si>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</sst>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 d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24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EF1"/>
      </patternFill>
    </fill>
    <fill>
      <patternFill patternType="solid">
        <fgColor rgb="FF087E8B"/>
      </patternFill>
    </fill>
    <fill>
      <patternFill patternType="solid">
        <fgColor rgb="FFFFF1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3" borderId="0" xfId="0" applyFill="1"/>
    <xf numFmtId="0" fontId="2" fillId="4" borderId="0" xfId="0" applyFont="1" applyFill="1" applyAlignment="1">
      <alignment vertical="center" wrapText="1"/>
    </xf>
    <xf numFmtId="9" fontId="0" fillId="0" borderId="0" xfId="0" applyNumberFormat="1"/>
    <xf numFmtId="0" fontId="0" fillId="5" borderId="0" xfId="0" applyFill="1"/>
    <xf numFmtId="165" fontId="2" fillId="4" borderId="0" xfId="0" applyNumberFormat="1" applyFont="1" applyFill="1" applyAlignment="1">
      <alignment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">
    <dxf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A17" sqref="A17"/>
    </sheetView>
  </sheetViews>
  <sheetFormatPr baseColWidth="10" defaultColWidth="8.796875" defaultRowHeight="13.8"/>
  <cols>
    <col min="1" max="1" width="72" customWidth="1"/>
    <col min="2" max="2" width="20" customWidth="1"/>
    <col min="3" max="8" width="15" customWidth="1"/>
  </cols>
  <sheetData>
    <row r="1" spans="1:8" ht="19.2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19.2" customHeight="1">
      <c r="A2" s="10"/>
      <c r="B2" s="10"/>
      <c r="C2" s="10"/>
      <c r="D2" s="10"/>
      <c r="E2" s="10"/>
      <c r="F2" s="10"/>
      <c r="G2" s="10"/>
      <c r="H2" s="10"/>
    </row>
    <row r="4" spans="1:8">
      <c r="A4" s="2" t="s">
        <v>1</v>
      </c>
      <c r="B4">
        <v>2026</v>
      </c>
    </row>
    <row r="5" spans="1:8">
      <c r="A5" s="2" t="s">
        <v>2</v>
      </c>
      <c r="B5">
        <v>10</v>
      </c>
    </row>
    <row r="6" spans="1:8">
      <c r="A6" s="2" t="s">
        <v>3</v>
      </c>
      <c r="B6" s="1">
        <f>DATE(B4,B5,1)</f>
        <v>46296</v>
      </c>
    </row>
    <row r="7" spans="1:8">
      <c r="A7" s="2" t="s">
        <v>4</v>
      </c>
      <c r="B7" s="1">
        <f>EOMONTH(B6,0)</f>
        <v>46326</v>
      </c>
    </row>
    <row r="8" spans="1:8">
      <c r="A8" s="2" t="s">
        <v>5</v>
      </c>
      <c r="B8" s="1">
        <f ca="1">TODAY()</f>
        <v>46309</v>
      </c>
    </row>
    <row r="10" spans="1:8">
      <c r="A10" t="s">
        <v>6</v>
      </c>
    </row>
    <row r="11" spans="1:8">
      <c r="A11" t="s">
        <v>7</v>
      </c>
    </row>
    <row r="12" spans="1:8">
      <c r="A12" t="s">
        <v>8</v>
      </c>
    </row>
    <row r="13" spans="1:8">
      <c r="A13" t="s">
        <v>9</v>
      </c>
    </row>
    <row r="14" spans="1:8">
      <c r="A14" t="s">
        <v>10</v>
      </c>
    </row>
    <row r="15" spans="1:8">
      <c r="A15" t="s">
        <v>11</v>
      </c>
    </row>
    <row r="16" spans="1:8">
      <c r="A16" t="s">
        <v>12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4" topLeftCell="A5" activePane="bottomLeft" state="frozen"/>
      <selection pane="bottomLeft" activeCell="A5" sqref="A5:A12"/>
    </sheetView>
  </sheetViews>
  <sheetFormatPr baseColWidth="10" defaultColWidth="8.796875" defaultRowHeight="13.8"/>
  <cols>
    <col min="1" max="1" width="27" customWidth="1"/>
    <col min="2" max="2" width="16" customWidth="1"/>
    <col min="3" max="4" width="24" customWidth="1"/>
    <col min="5" max="5" width="36" customWidth="1"/>
    <col min="6" max="6" width="22" customWidth="1"/>
  </cols>
  <sheetData>
    <row r="1" spans="1:6" ht="24" customHeight="1">
      <c r="A1" s="10" t="s">
        <v>13</v>
      </c>
      <c r="B1" s="10"/>
      <c r="C1" s="10"/>
      <c r="D1" s="10"/>
      <c r="E1" s="10"/>
      <c r="F1" s="10"/>
    </row>
    <row r="2" spans="1:6" ht="24" customHeight="1">
      <c r="A2" s="10"/>
      <c r="B2" s="10"/>
      <c r="C2" s="10"/>
      <c r="D2" s="10"/>
      <c r="E2" s="10"/>
      <c r="F2" s="10"/>
    </row>
    <row r="4" spans="1:6" ht="30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>
      <c r="A5" t="s">
        <v>20</v>
      </c>
      <c r="B5" t="s">
        <v>21</v>
      </c>
      <c r="C5" t="s">
        <v>22</v>
      </c>
      <c r="E5" t="s">
        <v>23</v>
      </c>
    </row>
    <row r="6" spans="1:6">
      <c r="A6" t="s">
        <v>24</v>
      </c>
      <c r="B6" t="s">
        <v>21</v>
      </c>
      <c r="C6" t="s">
        <v>25</v>
      </c>
      <c r="E6" t="s">
        <v>23</v>
      </c>
    </row>
    <row r="7" spans="1:6">
      <c r="A7" t="s">
        <v>26</v>
      </c>
      <c r="B7" t="s">
        <v>21</v>
      </c>
      <c r="C7" t="s">
        <v>25</v>
      </c>
      <c r="E7" t="s">
        <v>23</v>
      </c>
    </row>
    <row r="8" spans="1:6">
      <c r="A8" t="s">
        <v>27</v>
      </c>
      <c r="B8" t="s">
        <v>21</v>
      </c>
      <c r="C8" t="s">
        <v>22</v>
      </c>
      <c r="E8" t="s">
        <v>23</v>
      </c>
    </row>
    <row r="9" spans="1:6">
      <c r="A9" t="s">
        <v>28</v>
      </c>
      <c r="B9" t="s">
        <v>21</v>
      </c>
      <c r="C9" t="s">
        <v>22</v>
      </c>
      <c r="E9" t="s">
        <v>23</v>
      </c>
    </row>
    <row r="10" spans="1:6">
      <c r="A10" t="s">
        <v>29</v>
      </c>
      <c r="B10" t="s">
        <v>21</v>
      </c>
      <c r="C10" t="s">
        <v>22</v>
      </c>
      <c r="E10" t="s">
        <v>23</v>
      </c>
    </row>
    <row r="11" spans="1:6">
      <c r="A11" t="s">
        <v>30</v>
      </c>
      <c r="B11" t="s">
        <v>21</v>
      </c>
      <c r="C11" t="s">
        <v>22</v>
      </c>
      <c r="E11" t="s">
        <v>23</v>
      </c>
    </row>
    <row r="12" spans="1:6">
      <c r="A12" t="s">
        <v>31</v>
      </c>
      <c r="B12" t="s">
        <v>21</v>
      </c>
      <c r="C12" t="s">
        <v>22</v>
      </c>
      <c r="E12" t="s">
        <v>23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topLeftCell="E1" workbookViewId="0">
      <pane ySplit="4" topLeftCell="A5" activePane="bottomLeft" state="frozen"/>
      <selection pane="bottomLeft" activeCell="J19" sqref="J19"/>
    </sheetView>
  </sheetViews>
  <sheetFormatPr baseColWidth="10" defaultColWidth="8.796875" defaultRowHeight="13.8"/>
  <cols>
    <col min="1" max="1" width="13" customWidth="1"/>
    <col min="2" max="2" width="24" customWidth="1"/>
    <col min="3" max="3" width="19" customWidth="1"/>
    <col min="4" max="4" width="42" customWidth="1"/>
    <col min="5" max="5" width="19" customWidth="1"/>
    <col min="6" max="7" width="13" customWidth="1"/>
    <col min="8" max="10" width="19" customWidth="1"/>
    <col min="11" max="11" width="16" customWidth="1"/>
    <col min="12" max="12" width="14" customWidth="1"/>
    <col min="13" max="13" width="13" customWidth="1"/>
    <col min="14" max="15" width="16" customWidth="1"/>
    <col min="16" max="16" width="49" customWidth="1"/>
    <col min="17" max="17" width="34" customWidth="1"/>
  </cols>
  <sheetData>
    <row r="1" spans="1:17" ht="24" customHeight="1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4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30" customHeight="1">
      <c r="A4" s="3" t="s">
        <v>33</v>
      </c>
      <c r="B4" s="3" t="s">
        <v>14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15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18</v>
      </c>
      <c r="Q4" s="3" t="s">
        <v>46</v>
      </c>
    </row>
    <row r="5" spans="1:17">
      <c r="A5" t="s">
        <v>47</v>
      </c>
      <c r="B5" t="s">
        <v>20</v>
      </c>
      <c r="C5" t="s">
        <v>48</v>
      </c>
      <c r="D5" t="s">
        <v>49</v>
      </c>
      <c r="E5" t="s">
        <v>25</v>
      </c>
      <c r="F5" s="5">
        <v>29</v>
      </c>
      <c r="G5" s="5">
        <v>3</v>
      </c>
      <c r="H5" s="1">
        <v>46302</v>
      </c>
      <c r="I5" s="1">
        <v>46305</v>
      </c>
      <c r="J5" s="1"/>
      <c r="K5" t="s">
        <v>50</v>
      </c>
      <c r="L5" t="s">
        <v>51</v>
      </c>
      <c r="M5" s="4">
        <v>0</v>
      </c>
      <c r="N5">
        <f ca="1">IF(I5="","",I5-CONFIGURACION!$B$8)</f>
        <v>-4</v>
      </c>
      <c r="O5" t="str">
        <f ca="1">IF(I5="","Sin fecha",IF(K5="Cerrado","Completado",IF(I5&lt;CONFIGURACION!$B$8,"Vencido",IF(I5-CONFIGURACION!$B$8&lt;=3,"Próximo","En plazo"))))</f>
        <v>Vencido</v>
      </c>
      <c r="P5" t="s">
        <v>52</v>
      </c>
      <c r="Q5" t="s">
        <v>53</v>
      </c>
    </row>
    <row r="6" spans="1:17">
      <c r="A6" t="s">
        <v>54</v>
      </c>
      <c r="B6" t="s">
        <v>20</v>
      </c>
      <c r="C6" t="s">
        <v>55</v>
      </c>
      <c r="D6" t="s">
        <v>56</v>
      </c>
      <c r="E6" t="s">
        <v>22</v>
      </c>
      <c r="F6" s="5">
        <v>7</v>
      </c>
      <c r="G6" s="5">
        <v>10</v>
      </c>
      <c r="H6" s="1">
        <v>46294</v>
      </c>
      <c r="I6" s="1">
        <v>46298</v>
      </c>
      <c r="J6" s="1">
        <v>46296</v>
      </c>
      <c r="K6" t="s">
        <v>175</v>
      </c>
      <c r="L6" t="s">
        <v>51</v>
      </c>
      <c r="M6" s="4">
        <v>1</v>
      </c>
      <c r="N6">
        <f ca="1">IF(I6="","",I6-CONFIGURACION!$B$8)</f>
        <v>-11</v>
      </c>
      <c r="O6" t="str">
        <f>IF(I6="","Sin fecha",IF(K6="Cerrado","Completado",IF(I6&lt;CONFIGURACION!$B$8,"Vencido",IF(I6-CONFIGURACION!$B$8&lt;=3,"Próximo","En plazo"))))</f>
        <v>Completado</v>
      </c>
      <c r="P6" t="s">
        <v>57</v>
      </c>
      <c r="Q6" t="s">
        <v>58</v>
      </c>
    </row>
    <row r="7" spans="1:17">
      <c r="A7" t="s">
        <v>59</v>
      </c>
      <c r="B7" t="s">
        <v>20</v>
      </c>
      <c r="C7" t="s">
        <v>60</v>
      </c>
      <c r="D7" t="s">
        <v>61</v>
      </c>
      <c r="F7" s="5">
        <v>5</v>
      </c>
      <c r="G7" s="5">
        <v>5</v>
      </c>
      <c r="H7" s="1">
        <f>IF(F7="","",DATE(CONFIGURACION!$B$4,CONFIGURACION!$B$5,MIN(F7,DAY(CONFIGURACION!$B$7))))</f>
        <v>46300</v>
      </c>
      <c r="I7" s="1">
        <f>IF(G7="","",DATE(CONFIGURACION!$B$4,CONFIGURACION!$B$5,MIN(G7,DAY(CONFIGURACION!$B$7))))</f>
        <v>46300</v>
      </c>
      <c r="J7" s="1"/>
      <c r="K7" t="s">
        <v>175</v>
      </c>
      <c r="L7" t="s">
        <v>51</v>
      </c>
      <c r="M7" s="4">
        <v>1</v>
      </c>
      <c r="N7">
        <f ca="1">IF(I7="","",I7-CONFIGURACION!$B$8)</f>
        <v>-9</v>
      </c>
      <c r="O7" t="str">
        <f>IF(I7="","Sin fecha",IF(K7="Cerrado","Completado",IF(I7&lt;CONFIGURACION!$B$8,"Vencido",IF(I7-CONFIGURACION!$B$8&lt;=3,"Próximo","En plazo"))))</f>
        <v>Completado</v>
      </c>
      <c r="P7" t="s">
        <v>62</v>
      </c>
      <c r="Q7" t="s">
        <v>63</v>
      </c>
    </row>
    <row r="8" spans="1:17">
      <c r="A8" t="s">
        <v>64</v>
      </c>
      <c r="B8" t="s">
        <v>20</v>
      </c>
      <c r="C8" t="s">
        <v>60</v>
      </c>
      <c r="D8" t="s">
        <v>65</v>
      </c>
      <c r="F8" s="5">
        <v>10</v>
      </c>
      <c r="G8" s="5">
        <v>10</v>
      </c>
      <c r="H8" s="1">
        <f>IF(F8="","",DATE(CONFIGURACION!$B$4,CONFIGURACION!$B$5,MIN(F8,DAY(CONFIGURACION!$B$7))))</f>
        <v>46305</v>
      </c>
      <c r="I8" s="1">
        <f>IF(G8="","",DATE(CONFIGURACION!$B$4,CONFIGURACION!$B$5,MIN(G8,DAY(CONFIGURACION!$B$7))))</f>
        <v>46305</v>
      </c>
      <c r="J8" s="1"/>
      <c r="K8" t="s">
        <v>175</v>
      </c>
      <c r="L8" t="s">
        <v>51</v>
      </c>
      <c r="M8" s="4">
        <v>1</v>
      </c>
      <c r="N8">
        <f ca="1">IF(I8="","",I8-CONFIGURACION!$B$8)</f>
        <v>-4</v>
      </c>
      <c r="O8" t="str">
        <f>IF(I8="","Sin fecha",IF(K8="Cerrado","Completado",IF(I8&lt;CONFIGURACION!$B$8,"Vencido",IF(I8-CONFIGURACION!$B$8&lt;=3,"Próximo","En plazo"))))</f>
        <v>Completado</v>
      </c>
      <c r="P8" t="s">
        <v>62</v>
      </c>
      <c r="Q8" t="s">
        <v>63</v>
      </c>
    </row>
    <row r="9" spans="1:17">
      <c r="A9" t="s">
        <v>66</v>
      </c>
      <c r="B9" t="s">
        <v>20</v>
      </c>
      <c r="C9" t="s">
        <v>60</v>
      </c>
      <c r="D9" t="s">
        <v>67</v>
      </c>
      <c r="F9" s="5">
        <v>20</v>
      </c>
      <c r="G9" s="5">
        <v>20</v>
      </c>
      <c r="H9" s="1">
        <f>IF(F9="","",DATE(CONFIGURACION!$B$4,CONFIGURACION!$B$5,MIN(F9,DAY(CONFIGURACION!$B$7))))</f>
        <v>46315</v>
      </c>
      <c r="I9" s="1">
        <f>IF(G9="","",DATE(CONFIGURACION!$B$4,CONFIGURACION!$B$5,MIN(G9,DAY(CONFIGURACION!$B$7))))</f>
        <v>46315</v>
      </c>
      <c r="J9" s="1"/>
      <c r="K9" t="s">
        <v>50</v>
      </c>
      <c r="L9" t="s">
        <v>51</v>
      </c>
      <c r="M9" s="4">
        <v>0</v>
      </c>
      <c r="N9">
        <f ca="1">IF(I9="","",I9-CONFIGURACION!$B$8)</f>
        <v>6</v>
      </c>
      <c r="O9" t="str">
        <f ca="1">IF(I9="","Sin fecha",IF(K9="Cerrado","Completado",IF(I9&lt;CONFIGURACION!$B$8,"Vencido",IF(I9-CONFIGURACION!$B$8&lt;=3,"Próximo","En plazo"))))</f>
        <v>En plazo</v>
      </c>
      <c r="P9" t="s">
        <v>62</v>
      </c>
      <c r="Q9" t="s">
        <v>63</v>
      </c>
    </row>
    <row r="10" spans="1:17">
      <c r="A10" t="s">
        <v>68</v>
      </c>
      <c r="B10" t="s">
        <v>20</v>
      </c>
      <c r="C10" t="s">
        <v>60</v>
      </c>
      <c r="D10" t="s">
        <v>69</v>
      </c>
      <c r="F10" s="5">
        <v>26</v>
      </c>
      <c r="G10" s="5">
        <v>26</v>
      </c>
      <c r="H10" s="1">
        <f>IF(F10="","",DATE(CONFIGURACION!$B$4,CONFIGURACION!$B$5,MIN(F10,DAY(CONFIGURACION!$B$7))))</f>
        <v>46321</v>
      </c>
      <c r="I10" s="1">
        <f>IF(G10="","",DATE(CONFIGURACION!$B$4,CONFIGURACION!$B$5,MIN(G10,DAY(CONFIGURACION!$B$7))))</f>
        <v>46321</v>
      </c>
      <c r="J10" s="1"/>
      <c r="K10" t="s">
        <v>50</v>
      </c>
      <c r="L10" t="s">
        <v>51</v>
      </c>
      <c r="M10" s="4">
        <v>0</v>
      </c>
      <c r="N10">
        <f ca="1">IF(I10="","",I10-CONFIGURACION!$B$8)</f>
        <v>12</v>
      </c>
      <c r="O10" t="str">
        <f ca="1">IF(I10="","Sin fecha",IF(K10="Cerrado","Completado",IF(I10&lt;CONFIGURACION!$B$8,"Vencido",IF(I10-CONFIGURACION!$B$8&lt;=3,"Próximo","En plazo"))))</f>
        <v>En plazo</v>
      </c>
      <c r="P10" t="s">
        <v>62</v>
      </c>
      <c r="Q10" t="s">
        <v>63</v>
      </c>
    </row>
    <row r="11" spans="1:17">
      <c r="A11" t="s">
        <v>70</v>
      </c>
      <c r="B11" t="s">
        <v>20</v>
      </c>
      <c r="C11" t="s">
        <v>60</v>
      </c>
      <c r="D11" t="s">
        <v>71</v>
      </c>
      <c r="F11" s="5">
        <v>30</v>
      </c>
      <c r="G11" s="5">
        <v>30</v>
      </c>
      <c r="H11" s="1">
        <f>IF(F11="","",DATE(CONFIGURACION!$B$4,CONFIGURACION!$B$5,MIN(F11,DAY(CONFIGURACION!$B$7))))</f>
        <v>46325</v>
      </c>
      <c r="I11" s="1">
        <f>IF(G11="","",DATE(CONFIGURACION!$B$4,CONFIGURACION!$B$5,MIN(G11,DAY(CONFIGURACION!$B$7))))</f>
        <v>46325</v>
      </c>
      <c r="J11" s="1"/>
      <c r="K11" t="s">
        <v>50</v>
      </c>
      <c r="L11" t="s">
        <v>51</v>
      </c>
      <c r="M11" s="4">
        <v>0</v>
      </c>
      <c r="N11">
        <f ca="1">IF(I11="","",I11-CONFIGURACION!$B$8)</f>
        <v>16</v>
      </c>
      <c r="O11" t="str">
        <f ca="1">IF(I11="","Sin fecha",IF(K11="Cerrado","Completado",IF(I11&lt;CONFIGURACION!$B$8,"Vencido",IF(I11-CONFIGURACION!$B$8&lt;=3,"Próximo","En plazo"))))</f>
        <v>En plazo</v>
      </c>
      <c r="P11" t="s">
        <v>62</v>
      </c>
      <c r="Q11" t="s">
        <v>63</v>
      </c>
    </row>
    <row r="12" spans="1:17">
      <c r="A12" t="s">
        <v>72</v>
      </c>
      <c r="B12" t="s">
        <v>24</v>
      </c>
      <c r="C12" t="s">
        <v>48</v>
      </c>
      <c r="D12" t="s">
        <v>49</v>
      </c>
      <c r="E12" t="s">
        <v>25</v>
      </c>
      <c r="F12" s="5">
        <v>29</v>
      </c>
      <c r="G12" s="5">
        <v>3</v>
      </c>
      <c r="H12" s="1">
        <v>46302</v>
      </c>
      <c r="I12" s="1">
        <v>46305</v>
      </c>
      <c r="J12" s="1">
        <v>46309</v>
      </c>
      <c r="K12" t="s">
        <v>175</v>
      </c>
      <c r="L12" t="s">
        <v>51</v>
      </c>
      <c r="M12" s="4">
        <v>1</v>
      </c>
      <c r="N12">
        <f ca="1">IF(I12="","",I12-CONFIGURACION!$B$8)</f>
        <v>-4</v>
      </c>
      <c r="O12" t="str">
        <f>IF(I12="","Sin fecha",IF(K12="Cerrado","Completado",IF(I12&lt;CONFIGURACION!$B$8,"Vencido",IF(I12-CONFIGURACION!$B$8&lt;=3,"Próximo","En plazo"))))</f>
        <v>Completado</v>
      </c>
      <c r="P12" t="s">
        <v>52</v>
      </c>
      <c r="Q12" t="s">
        <v>53</v>
      </c>
    </row>
    <row r="13" spans="1:17">
      <c r="A13" t="s">
        <v>73</v>
      </c>
      <c r="B13" t="s">
        <v>24</v>
      </c>
      <c r="C13" t="s">
        <v>55</v>
      </c>
      <c r="D13" t="s">
        <v>56</v>
      </c>
      <c r="E13" t="s">
        <v>25</v>
      </c>
      <c r="F13" s="5">
        <v>7</v>
      </c>
      <c r="G13" s="5">
        <v>10</v>
      </c>
      <c r="H13" s="1">
        <v>46324</v>
      </c>
      <c r="I13" s="1">
        <v>46329</v>
      </c>
      <c r="J13" s="1"/>
      <c r="K13" t="s">
        <v>50</v>
      </c>
      <c r="L13" t="s">
        <v>51</v>
      </c>
      <c r="M13" s="4">
        <v>0</v>
      </c>
      <c r="N13">
        <f ca="1">IF(I13="","",I13-CONFIGURACION!$B$8)</f>
        <v>20</v>
      </c>
      <c r="O13" t="str">
        <f ca="1">IF(I13="","Sin fecha",IF(K13="Cerrado","Completado",IF(I13&lt;CONFIGURACION!$B$8,"Vencido",IF(I13-CONFIGURACION!$B$8&lt;=3,"Próximo","En plazo"))))</f>
        <v>En plazo</v>
      </c>
      <c r="P13" t="s">
        <v>57</v>
      </c>
      <c r="Q13" t="s">
        <v>58</v>
      </c>
    </row>
    <row r="14" spans="1:17">
      <c r="A14" t="s">
        <v>74</v>
      </c>
      <c r="B14" t="s">
        <v>24</v>
      </c>
      <c r="C14" t="s">
        <v>60</v>
      </c>
      <c r="D14" t="s">
        <v>61</v>
      </c>
      <c r="F14" s="5">
        <v>5</v>
      </c>
      <c r="G14" s="5">
        <v>5</v>
      </c>
      <c r="H14" s="1">
        <f>IF(F14="","",DATE(CONFIGURACION!$B$4,CONFIGURACION!$B$5,MIN(F14,DAY(CONFIGURACION!$B$7))))</f>
        <v>46300</v>
      </c>
      <c r="I14" s="1">
        <f>IF(G14="","",DATE(CONFIGURACION!$B$4,CONFIGURACION!$B$5,MIN(G14,DAY(CONFIGURACION!$B$7))))</f>
        <v>46300</v>
      </c>
      <c r="J14" s="1"/>
      <c r="K14" t="s">
        <v>175</v>
      </c>
      <c r="L14" t="s">
        <v>51</v>
      </c>
      <c r="M14" s="4">
        <v>1</v>
      </c>
      <c r="N14">
        <f ca="1">IF(I14="","",I14-CONFIGURACION!$B$8)</f>
        <v>-9</v>
      </c>
      <c r="O14" t="str">
        <f>IF(I14="","Sin fecha",IF(K14="Cerrado","Completado",IF(I14&lt;CONFIGURACION!$B$8,"Vencido",IF(I14-CONFIGURACION!$B$8&lt;=3,"Próximo","En plazo"))))</f>
        <v>Completado</v>
      </c>
      <c r="P14" t="s">
        <v>62</v>
      </c>
      <c r="Q14" t="s">
        <v>63</v>
      </c>
    </row>
    <row r="15" spans="1:17">
      <c r="A15" t="s">
        <v>75</v>
      </c>
      <c r="B15" t="s">
        <v>24</v>
      </c>
      <c r="C15" t="s">
        <v>60</v>
      </c>
      <c r="D15" t="s">
        <v>65</v>
      </c>
      <c r="F15" s="5">
        <v>10</v>
      </c>
      <c r="G15" s="5">
        <v>10</v>
      </c>
      <c r="H15" s="1">
        <f>IF(F15="","",DATE(CONFIGURACION!$B$4,CONFIGURACION!$B$5,MIN(F15,DAY(CONFIGURACION!$B$7))))</f>
        <v>46305</v>
      </c>
      <c r="I15" s="1">
        <f>IF(G15="","",DATE(CONFIGURACION!$B$4,CONFIGURACION!$B$5,MIN(G15,DAY(CONFIGURACION!$B$7))))</f>
        <v>46305</v>
      </c>
      <c r="J15" s="1"/>
      <c r="K15" t="s">
        <v>175</v>
      </c>
      <c r="L15" t="s">
        <v>51</v>
      </c>
      <c r="M15" s="4">
        <v>1</v>
      </c>
      <c r="N15">
        <f ca="1">IF(I15="","",I15-CONFIGURACION!$B$8)</f>
        <v>-4</v>
      </c>
      <c r="O15" t="str">
        <f>IF(I15="","Sin fecha",IF(K15="Cerrado","Completado",IF(I15&lt;CONFIGURACION!$B$8,"Vencido",IF(I15-CONFIGURACION!$B$8&lt;=3,"Próximo","En plazo"))))</f>
        <v>Completado</v>
      </c>
      <c r="P15" t="s">
        <v>62</v>
      </c>
      <c r="Q15" t="s">
        <v>63</v>
      </c>
    </row>
    <row r="16" spans="1:17">
      <c r="A16" t="s">
        <v>76</v>
      </c>
      <c r="B16" t="s">
        <v>24</v>
      </c>
      <c r="C16" t="s">
        <v>60</v>
      </c>
      <c r="D16" t="s">
        <v>67</v>
      </c>
      <c r="F16" s="5">
        <v>20</v>
      </c>
      <c r="G16" s="5">
        <v>20</v>
      </c>
      <c r="H16" s="1">
        <f>IF(F16="","",DATE(CONFIGURACION!$B$4,CONFIGURACION!$B$5,MIN(F16,DAY(CONFIGURACION!$B$7))))</f>
        <v>46315</v>
      </c>
      <c r="I16" s="1">
        <f>IF(G16="","",DATE(CONFIGURACION!$B$4,CONFIGURACION!$B$5,MIN(G16,DAY(CONFIGURACION!$B$7))))</f>
        <v>46315</v>
      </c>
      <c r="J16" s="1"/>
      <c r="K16" t="s">
        <v>50</v>
      </c>
      <c r="L16" t="s">
        <v>51</v>
      </c>
      <c r="M16" s="4">
        <v>0</v>
      </c>
      <c r="N16">
        <f ca="1">IF(I16="","",I16-CONFIGURACION!$B$8)</f>
        <v>6</v>
      </c>
      <c r="O16" t="str">
        <f ca="1">IF(I16="","Sin fecha",IF(K16="Cerrado","Completado",IF(I16&lt;CONFIGURACION!$B$8,"Vencido",IF(I16-CONFIGURACION!$B$8&lt;=3,"Próximo","En plazo"))))</f>
        <v>En plazo</v>
      </c>
      <c r="P16" t="s">
        <v>62</v>
      </c>
      <c r="Q16" t="s">
        <v>63</v>
      </c>
    </row>
    <row r="17" spans="1:17">
      <c r="A17" t="s">
        <v>77</v>
      </c>
      <c r="B17" t="s">
        <v>24</v>
      </c>
      <c r="C17" t="s">
        <v>60</v>
      </c>
      <c r="D17" t="s">
        <v>69</v>
      </c>
      <c r="F17" s="5">
        <v>26</v>
      </c>
      <c r="G17" s="5">
        <v>26</v>
      </c>
      <c r="H17" s="1">
        <f>IF(F17="","",DATE(CONFIGURACION!$B$4,CONFIGURACION!$B$5,MIN(F17,DAY(CONFIGURACION!$B$7))))</f>
        <v>46321</v>
      </c>
      <c r="I17" s="1">
        <f>IF(G17="","",DATE(CONFIGURACION!$B$4,CONFIGURACION!$B$5,MIN(G17,DAY(CONFIGURACION!$B$7))))</f>
        <v>46321</v>
      </c>
      <c r="J17" s="1"/>
      <c r="K17" t="s">
        <v>50</v>
      </c>
      <c r="L17" t="s">
        <v>51</v>
      </c>
      <c r="M17" s="4">
        <v>0</v>
      </c>
      <c r="N17">
        <f ca="1">IF(I17="","",I17-CONFIGURACION!$B$8)</f>
        <v>12</v>
      </c>
      <c r="O17" t="str">
        <f ca="1">IF(I17="","Sin fecha",IF(K17="Cerrado","Completado",IF(I17&lt;CONFIGURACION!$B$8,"Vencido",IF(I17-CONFIGURACION!$B$8&lt;=3,"Próximo","En plazo"))))</f>
        <v>En plazo</v>
      </c>
      <c r="P17" t="s">
        <v>62</v>
      </c>
      <c r="Q17" t="s">
        <v>63</v>
      </c>
    </row>
    <row r="18" spans="1:17">
      <c r="A18" t="s">
        <v>78</v>
      </c>
      <c r="B18" t="s">
        <v>24</v>
      </c>
      <c r="C18" t="s">
        <v>60</v>
      </c>
      <c r="D18" t="s">
        <v>71</v>
      </c>
      <c r="F18" s="5">
        <v>30</v>
      </c>
      <c r="G18" s="5">
        <v>30</v>
      </c>
      <c r="H18" s="1">
        <f>IF(F18="","",DATE(CONFIGURACION!$B$4,CONFIGURACION!$B$5,MIN(F18,DAY(CONFIGURACION!$B$7))))</f>
        <v>46325</v>
      </c>
      <c r="I18" s="1">
        <f>IF(G18="","",DATE(CONFIGURACION!$B$4,CONFIGURACION!$B$5,MIN(G18,DAY(CONFIGURACION!$B$7))))</f>
        <v>46325</v>
      </c>
      <c r="J18" s="1"/>
      <c r="K18" t="s">
        <v>50</v>
      </c>
      <c r="L18" t="s">
        <v>51</v>
      </c>
      <c r="M18" s="4">
        <v>0</v>
      </c>
      <c r="N18">
        <f ca="1">IF(I18="","",I18-CONFIGURACION!$B$8)</f>
        <v>16</v>
      </c>
      <c r="O18" t="str">
        <f ca="1">IF(I18="","Sin fecha",IF(K18="Cerrado","Completado",IF(I18&lt;CONFIGURACION!$B$8,"Vencido",IF(I18-CONFIGURACION!$B$8&lt;=3,"Próximo","En plazo"))))</f>
        <v>En plazo</v>
      </c>
      <c r="P18" t="s">
        <v>62</v>
      </c>
      <c r="Q18" t="s">
        <v>63</v>
      </c>
    </row>
    <row r="19" spans="1:17">
      <c r="A19" t="s">
        <v>79</v>
      </c>
      <c r="B19" t="s">
        <v>26</v>
      </c>
      <c r="C19" t="s">
        <v>48</v>
      </c>
      <c r="D19" t="s">
        <v>49</v>
      </c>
      <c r="E19" t="s">
        <v>25</v>
      </c>
      <c r="F19" s="5">
        <v>18</v>
      </c>
      <c r="G19" s="5">
        <v>23</v>
      </c>
      <c r="H19" s="1">
        <v>46297</v>
      </c>
      <c r="I19" s="1">
        <v>46300</v>
      </c>
      <c r="J19" s="1">
        <v>46300</v>
      </c>
      <c r="K19" t="s">
        <v>175</v>
      </c>
      <c r="L19" t="s">
        <v>51</v>
      </c>
      <c r="M19" s="4">
        <v>1</v>
      </c>
      <c r="N19">
        <f ca="1">IF(I19="","",I19-CONFIGURACION!$B$8)</f>
        <v>-9</v>
      </c>
      <c r="O19" t="str">
        <f>IF(I19="","Sin fecha",IF(K19="Cerrado","Completado",IF(I19&lt;CONFIGURACION!$B$8,"Vencido",IF(I19-CONFIGURACION!$B$8&lt;=3,"Próximo","En plazo"))))</f>
        <v>Completado</v>
      </c>
      <c r="P19" t="s">
        <v>52</v>
      </c>
      <c r="Q19" t="s">
        <v>53</v>
      </c>
    </row>
    <row r="20" spans="1:17">
      <c r="A20" t="s">
        <v>80</v>
      </c>
      <c r="B20" t="s">
        <v>26</v>
      </c>
      <c r="C20" t="s">
        <v>55</v>
      </c>
      <c r="D20" t="s">
        <v>56</v>
      </c>
      <c r="E20" t="s">
        <v>25</v>
      </c>
      <c r="F20" s="5">
        <v>2</v>
      </c>
      <c r="G20" s="5">
        <v>5</v>
      </c>
      <c r="H20" s="1">
        <v>46313</v>
      </c>
      <c r="I20" s="1">
        <v>46318</v>
      </c>
      <c r="J20" s="1"/>
      <c r="K20" t="s">
        <v>50</v>
      </c>
      <c r="L20" t="s">
        <v>51</v>
      </c>
      <c r="M20" s="4">
        <v>0</v>
      </c>
      <c r="N20">
        <f ca="1">IF(I20="","",I20-CONFIGURACION!$B$8)</f>
        <v>9</v>
      </c>
      <c r="O20" t="str">
        <f ca="1">IF(I20="","Sin fecha",IF(K20="Cerrado","Completado",IF(I20&lt;CONFIGURACION!$B$8,"Vencido",IF(I20-CONFIGURACION!$B$8&lt;=3,"Próximo","En plazo"))))</f>
        <v>En plazo</v>
      </c>
      <c r="P20" t="s">
        <v>57</v>
      </c>
      <c r="Q20" t="s">
        <v>58</v>
      </c>
    </row>
    <row r="21" spans="1:17">
      <c r="A21" t="s">
        <v>81</v>
      </c>
      <c r="B21" t="s">
        <v>26</v>
      </c>
      <c r="C21" t="s">
        <v>60</v>
      </c>
      <c r="D21" t="s">
        <v>61</v>
      </c>
      <c r="F21" s="5">
        <v>5</v>
      </c>
      <c r="G21" s="5">
        <v>5</v>
      </c>
      <c r="H21" s="1">
        <f>IF(F21="","",DATE(CONFIGURACION!$B$4,CONFIGURACION!$B$5,MIN(F21,DAY(CONFIGURACION!$B$7))))</f>
        <v>46300</v>
      </c>
      <c r="I21" s="1">
        <f>IF(G21="","",DATE(CONFIGURACION!$B$4,CONFIGURACION!$B$5,MIN(G21,DAY(CONFIGURACION!$B$7))))</f>
        <v>46300</v>
      </c>
      <c r="J21" s="1"/>
      <c r="K21" t="s">
        <v>175</v>
      </c>
      <c r="L21" t="s">
        <v>51</v>
      </c>
      <c r="M21" s="4">
        <v>1</v>
      </c>
      <c r="N21">
        <f ca="1">IF(I21="","",I21-CONFIGURACION!$B$8)</f>
        <v>-9</v>
      </c>
      <c r="O21" t="str">
        <f>IF(I21="","Sin fecha",IF(K21="Cerrado","Completado",IF(I21&lt;CONFIGURACION!$B$8,"Vencido",IF(I21-CONFIGURACION!$B$8&lt;=3,"Próximo","En plazo"))))</f>
        <v>Completado</v>
      </c>
      <c r="P21" t="s">
        <v>62</v>
      </c>
      <c r="Q21" t="s">
        <v>63</v>
      </c>
    </row>
    <row r="22" spans="1:17">
      <c r="A22" t="s">
        <v>82</v>
      </c>
      <c r="B22" t="s">
        <v>26</v>
      </c>
      <c r="C22" t="s">
        <v>60</v>
      </c>
      <c r="D22" t="s">
        <v>65</v>
      </c>
      <c r="F22" s="5">
        <v>10</v>
      </c>
      <c r="G22" s="5">
        <v>10</v>
      </c>
      <c r="H22" s="1">
        <f>IF(F22="","",DATE(CONFIGURACION!$B$4,CONFIGURACION!$B$5,MIN(F22,DAY(CONFIGURACION!$B$7))))</f>
        <v>46305</v>
      </c>
      <c r="I22" s="1">
        <f>IF(G22="","",DATE(CONFIGURACION!$B$4,CONFIGURACION!$B$5,MIN(G22,DAY(CONFIGURACION!$B$7))))</f>
        <v>46305</v>
      </c>
      <c r="J22" s="1"/>
      <c r="K22" t="s">
        <v>175</v>
      </c>
      <c r="L22" t="s">
        <v>51</v>
      </c>
      <c r="M22" s="4">
        <v>1</v>
      </c>
      <c r="N22">
        <f ca="1">IF(I22="","",I22-CONFIGURACION!$B$8)</f>
        <v>-4</v>
      </c>
      <c r="O22" t="str">
        <f>IF(I22="","Sin fecha",IF(K22="Cerrado","Completado",IF(I22&lt;CONFIGURACION!$B$8,"Vencido",IF(I22-CONFIGURACION!$B$8&lt;=3,"Próximo","En plazo"))))</f>
        <v>Completado</v>
      </c>
      <c r="P22" t="s">
        <v>62</v>
      </c>
      <c r="Q22" t="s">
        <v>63</v>
      </c>
    </row>
    <row r="23" spans="1:17">
      <c r="A23" t="s">
        <v>83</v>
      </c>
      <c r="B23" t="s">
        <v>26</v>
      </c>
      <c r="C23" t="s">
        <v>60</v>
      </c>
      <c r="D23" t="s">
        <v>67</v>
      </c>
      <c r="F23" s="5">
        <v>20</v>
      </c>
      <c r="G23" s="5">
        <v>20</v>
      </c>
      <c r="H23" s="1">
        <f>IF(F23="","",DATE(CONFIGURACION!$B$4,CONFIGURACION!$B$5,MIN(F23,DAY(CONFIGURACION!$B$7))))</f>
        <v>46315</v>
      </c>
      <c r="I23" s="1">
        <f>IF(G23="","",DATE(CONFIGURACION!$B$4,CONFIGURACION!$B$5,MIN(G23,DAY(CONFIGURACION!$B$7))))</f>
        <v>46315</v>
      </c>
      <c r="J23" s="1"/>
      <c r="K23" t="s">
        <v>50</v>
      </c>
      <c r="L23" t="s">
        <v>51</v>
      </c>
      <c r="M23" s="4">
        <v>0</v>
      </c>
      <c r="N23">
        <f ca="1">IF(I23="","",I23-CONFIGURACION!$B$8)</f>
        <v>6</v>
      </c>
      <c r="O23" t="str">
        <f ca="1">IF(I23="","Sin fecha",IF(K23="Cerrado","Completado",IF(I23&lt;CONFIGURACION!$B$8,"Vencido",IF(I23-CONFIGURACION!$B$8&lt;=3,"Próximo","En plazo"))))</f>
        <v>En plazo</v>
      </c>
      <c r="P23" t="s">
        <v>62</v>
      </c>
      <c r="Q23" t="s">
        <v>63</v>
      </c>
    </row>
    <row r="24" spans="1:17">
      <c r="A24" t="s">
        <v>84</v>
      </c>
      <c r="B24" t="s">
        <v>26</v>
      </c>
      <c r="C24" t="s">
        <v>60</v>
      </c>
      <c r="D24" t="s">
        <v>69</v>
      </c>
      <c r="F24" s="5">
        <v>26</v>
      </c>
      <c r="G24" s="5">
        <v>26</v>
      </c>
      <c r="H24" s="1">
        <f>IF(F24="","",DATE(CONFIGURACION!$B$4,CONFIGURACION!$B$5,MIN(F24,DAY(CONFIGURACION!$B$7))))</f>
        <v>46321</v>
      </c>
      <c r="I24" s="1">
        <f>IF(G24="","",DATE(CONFIGURACION!$B$4,CONFIGURACION!$B$5,MIN(G24,DAY(CONFIGURACION!$B$7))))</f>
        <v>46321</v>
      </c>
      <c r="J24" s="1"/>
      <c r="K24" t="s">
        <v>50</v>
      </c>
      <c r="L24" t="s">
        <v>51</v>
      </c>
      <c r="M24" s="4">
        <v>0</v>
      </c>
      <c r="N24">
        <f ca="1">IF(I24="","",I24-CONFIGURACION!$B$8)</f>
        <v>12</v>
      </c>
      <c r="O24" t="str">
        <f ca="1">IF(I24="","Sin fecha",IF(K24="Cerrado","Completado",IF(I24&lt;CONFIGURACION!$B$8,"Vencido",IF(I24-CONFIGURACION!$B$8&lt;=3,"Próximo","En plazo"))))</f>
        <v>En plazo</v>
      </c>
      <c r="P24" t="s">
        <v>62</v>
      </c>
      <c r="Q24" t="s">
        <v>63</v>
      </c>
    </row>
    <row r="25" spans="1:17">
      <c r="A25" t="s">
        <v>85</v>
      </c>
      <c r="B25" t="s">
        <v>26</v>
      </c>
      <c r="C25" t="s">
        <v>60</v>
      </c>
      <c r="D25" t="s">
        <v>71</v>
      </c>
      <c r="F25" s="5">
        <v>30</v>
      </c>
      <c r="G25" s="5">
        <v>30</v>
      </c>
      <c r="H25" s="1">
        <f>IF(F25="","",DATE(CONFIGURACION!$B$4,CONFIGURACION!$B$5,MIN(F25,DAY(CONFIGURACION!$B$7))))</f>
        <v>46325</v>
      </c>
      <c r="I25" s="1">
        <f>IF(G25="","",DATE(CONFIGURACION!$B$4,CONFIGURACION!$B$5,MIN(G25,DAY(CONFIGURACION!$B$7))))</f>
        <v>46325</v>
      </c>
      <c r="J25" s="1"/>
      <c r="K25" t="s">
        <v>50</v>
      </c>
      <c r="L25" t="s">
        <v>51</v>
      </c>
      <c r="M25" s="4">
        <v>0</v>
      </c>
      <c r="N25">
        <f ca="1">IF(I25="","",I25-CONFIGURACION!$B$8)</f>
        <v>16</v>
      </c>
      <c r="O25" t="str">
        <f ca="1">IF(I25="","Sin fecha",IF(K25="Cerrado","Completado",IF(I25&lt;CONFIGURACION!$B$8,"Vencido",IF(I25-CONFIGURACION!$B$8&lt;=3,"Próximo","En plazo"))))</f>
        <v>En plazo</v>
      </c>
      <c r="P25" t="s">
        <v>62</v>
      </c>
      <c r="Q25" t="s">
        <v>63</v>
      </c>
    </row>
    <row r="26" spans="1:17">
      <c r="A26" t="s">
        <v>86</v>
      </c>
      <c r="B26" t="s">
        <v>27</v>
      </c>
      <c r="C26" t="s">
        <v>48</v>
      </c>
      <c r="D26" t="s">
        <v>49</v>
      </c>
      <c r="E26" t="s">
        <v>22</v>
      </c>
      <c r="F26" s="5">
        <v>15</v>
      </c>
      <c r="G26" s="5">
        <v>20</v>
      </c>
      <c r="H26" s="1">
        <v>51136</v>
      </c>
      <c r="I26" s="1">
        <v>46298</v>
      </c>
      <c r="J26" s="1">
        <v>46300</v>
      </c>
      <c r="K26" t="s">
        <v>175</v>
      </c>
      <c r="L26" t="s">
        <v>51</v>
      </c>
      <c r="M26" s="4">
        <v>1</v>
      </c>
      <c r="N26">
        <f ca="1">IF(I26="","",I26-CONFIGURACION!$B$8)</f>
        <v>-11</v>
      </c>
      <c r="O26" t="str">
        <f>IF(I26="","Sin fecha",IF(K26="Cerrado","Completado",IF(I26&lt;CONFIGURACION!$B$8,"Vencido",IF(I26-CONFIGURACION!$B$8&lt;=3,"Próximo","En plazo"))))</f>
        <v>Completado</v>
      </c>
      <c r="P26" t="s">
        <v>52</v>
      </c>
      <c r="Q26" t="s">
        <v>53</v>
      </c>
    </row>
    <row r="27" spans="1:17">
      <c r="A27" t="s">
        <v>87</v>
      </c>
      <c r="B27" t="s">
        <v>27</v>
      </c>
      <c r="C27" t="s">
        <v>55</v>
      </c>
      <c r="D27" t="s">
        <v>56</v>
      </c>
      <c r="E27" t="s">
        <v>22</v>
      </c>
      <c r="F27" s="5">
        <v>1</v>
      </c>
      <c r="G27" s="5">
        <v>3</v>
      </c>
      <c r="H27" s="1">
        <v>46310</v>
      </c>
      <c r="I27" s="1">
        <v>46315</v>
      </c>
      <c r="J27" s="1"/>
      <c r="K27" t="s">
        <v>50</v>
      </c>
      <c r="L27" t="s">
        <v>51</v>
      </c>
      <c r="M27" s="4">
        <v>0</v>
      </c>
      <c r="N27">
        <f ca="1">IF(I27="","",I27-CONFIGURACION!$B$8)</f>
        <v>6</v>
      </c>
      <c r="O27" t="str">
        <f ca="1">IF(I27="","Sin fecha",IF(K27="Cerrado","Completado",IF(I27&lt;CONFIGURACION!$B$8,"Vencido",IF(I27-CONFIGURACION!$B$8&lt;=3,"Próximo","En plazo"))))</f>
        <v>En plazo</v>
      </c>
      <c r="P27" t="s">
        <v>57</v>
      </c>
      <c r="Q27" t="s">
        <v>58</v>
      </c>
    </row>
    <row r="28" spans="1:17">
      <c r="A28" t="s">
        <v>88</v>
      </c>
      <c r="B28" t="s">
        <v>27</v>
      </c>
      <c r="C28" t="s">
        <v>60</v>
      </c>
      <c r="D28" t="s">
        <v>61</v>
      </c>
      <c r="F28" s="5">
        <v>5</v>
      </c>
      <c r="G28" s="5">
        <v>5</v>
      </c>
      <c r="H28" s="1">
        <f>IF(F28="","",DATE(CONFIGURACION!$B$4,CONFIGURACION!$B$5,MIN(F28,DAY(CONFIGURACION!$B$7))))</f>
        <v>46300</v>
      </c>
      <c r="I28" s="1">
        <f>IF(G28="","",DATE(CONFIGURACION!$B$4,CONFIGURACION!$B$5,MIN(G28,DAY(CONFIGURACION!$B$7))))</f>
        <v>46300</v>
      </c>
      <c r="J28" s="1"/>
      <c r="K28" t="s">
        <v>175</v>
      </c>
      <c r="L28" t="s">
        <v>51</v>
      </c>
      <c r="M28" s="4">
        <v>1</v>
      </c>
      <c r="N28">
        <f ca="1">IF(I28="","",I28-CONFIGURACION!$B$8)</f>
        <v>-9</v>
      </c>
      <c r="O28" t="str">
        <f>IF(I28="","Sin fecha",IF(K28="Cerrado","Completado",IF(I28&lt;CONFIGURACION!$B$8,"Vencido",IF(I28-CONFIGURACION!$B$8&lt;=3,"Próximo","En plazo"))))</f>
        <v>Completado</v>
      </c>
      <c r="P28" t="s">
        <v>62</v>
      </c>
      <c r="Q28" t="s">
        <v>63</v>
      </c>
    </row>
    <row r="29" spans="1:17">
      <c r="A29" t="s">
        <v>89</v>
      </c>
      <c r="B29" t="s">
        <v>27</v>
      </c>
      <c r="C29" t="s">
        <v>60</v>
      </c>
      <c r="D29" t="s">
        <v>65</v>
      </c>
      <c r="F29" s="5">
        <v>10</v>
      </c>
      <c r="G29" s="5">
        <v>10</v>
      </c>
      <c r="H29" s="1">
        <f>IF(F29="","",DATE(CONFIGURACION!$B$4,CONFIGURACION!$B$5,MIN(F29,DAY(CONFIGURACION!$B$7))))</f>
        <v>46305</v>
      </c>
      <c r="I29" s="1">
        <f>IF(G29="","",DATE(CONFIGURACION!$B$4,CONFIGURACION!$B$5,MIN(G29,DAY(CONFIGURACION!$B$7))))</f>
        <v>46305</v>
      </c>
      <c r="J29" s="1"/>
      <c r="K29" t="s">
        <v>175</v>
      </c>
      <c r="L29" t="s">
        <v>51</v>
      </c>
      <c r="M29" s="4">
        <v>1</v>
      </c>
      <c r="N29">
        <f ca="1">IF(I29="","",I29-CONFIGURACION!$B$8)</f>
        <v>-4</v>
      </c>
      <c r="O29" t="str">
        <f>IF(I29="","Sin fecha",IF(K29="Cerrado","Completado",IF(I29&lt;CONFIGURACION!$B$8,"Vencido",IF(I29-CONFIGURACION!$B$8&lt;=3,"Próximo","En plazo"))))</f>
        <v>Completado</v>
      </c>
      <c r="P29" t="s">
        <v>62</v>
      </c>
      <c r="Q29" t="s">
        <v>63</v>
      </c>
    </row>
    <row r="30" spans="1:17">
      <c r="A30" t="s">
        <v>90</v>
      </c>
      <c r="B30" t="s">
        <v>27</v>
      </c>
      <c r="C30" t="s">
        <v>60</v>
      </c>
      <c r="D30" t="s">
        <v>67</v>
      </c>
      <c r="F30" s="5">
        <v>20</v>
      </c>
      <c r="G30" s="5">
        <v>20</v>
      </c>
      <c r="H30" s="1">
        <f>IF(F30="","",DATE(CONFIGURACION!$B$4,CONFIGURACION!$B$5,MIN(F30,DAY(CONFIGURACION!$B$7))))</f>
        <v>46315</v>
      </c>
      <c r="I30" s="1">
        <f>IF(G30="","",DATE(CONFIGURACION!$B$4,CONFIGURACION!$B$5,MIN(G30,DAY(CONFIGURACION!$B$7))))</f>
        <v>46315</v>
      </c>
      <c r="J30" s="1"/>
      <c r="K30" t="s">
        <v>50</v>
      </c>
      <c r="L30" t="s">
        <v>51</v>
      </c>
      <c r="M30" s="4">
        <v>0</v>
      </c>
      <c r="N30">
        <f ca="1">IF(I30="","",I30-CONFIGURACION!$B$8)</f>
        <v>6</v>
      </c>
      <c r="O30" t="str">
        <f ca="1">IF(I30="","Sin fecha",IF(K30="Cerrado","Completado",IF(I30&lt;CONFIGURACION!$B$8,"Vencido",IF(I30-CONFIGURACION!$B$8&lt;=3,"Próximo","En plazo"))))</f>
        <v>En plazo</v>
      </c>
      <c r="P30" t="s">
        <v>62</v>
      </c>
      <c r="Q30" t="s">
        <v>63</v>
      </c>
    </row>
    <row r="31" spans="1:17">
      <c r="A31" t="s">
        <v>91</v>
      </c>
      <c r="B31" t="s">
        <v>27</v>
      </c>
      <c r="C31" t="s">
        <v>60</v>
      </c>
      <c r="D31" t="s">
        <v>69</v>
      </c>
      <c r="F31" s="5">
        <v>26</v>
      </c>
      <c r="G31" s="5">
        <v>26</v>
      </c>
      <c r="H31" s="1">
        <f>IF(F31="","",DATE(CONFIGURACION!$B$4,CONFIGURACION!$B$5,MIN(F31,DAY(CONFIGURACION!$B$7))))</f>
        <v>46321</v>
      </c>
      <c r="I31" s="1">
        <f>IF(G31="","",DATE(CONFIGURACION!$B$4,CONFIGURACION!$B$5,MIN(G31,DAY(CONFIGURACION!$B$7))))</f>
        <v>46321</v>
      </c>
      <c r="J31" s="1"/>
      <c r="K31" t="s">
        <v>50</v>
      </c>
      <c r="L31" t="s">
        <v>51</v>
      </c>
      <c r="M31" s="4">
        <v>0</v>
      </c>
      <c r="N31">
        <f ca="1">IF(I31="","",I31-CONFIGURACION!$B$8)</f>
        <v>12</v>
      </c>
      <c r="O31" t="str">
        <f ca="1">IF(I31="","Sin fecha",IF(K31="Cerrado","Completado",IF(I31&lt;CONFIGURACION!$B$8,"Vencido",IF(I31-CONFIGURACION!$B$8&lt;=3,"Próximo","En plazo"))))</f>
        <v>En plazo</v>
      </c>
      <c r="P31" t="s">
        <v>62</v>
      </c>
      <c r="Q31" t="s">
        <v>63</v>
      </c>
    </row>
    <row r="32" spans="1:17">
      <c r="A32" t="s">
        <v>92</v>
      </c>
      <c r="B32" t="s">
        <v>27</v>
      </c>
      <c r="C32" t="s">
        <v>60</v>
      </c>
      <c r="D32" t="s">
        <v>71</v>
      </c>
      <c r="F32" s="5">
        <v>30</v>
      </c>
      <c r="G32" s="5">
        <v>30</v>
      </c>
      <c r="H32" s="1">
        <f>IF(F32="","",DATE(CONFIGURACION!$B$4,CONFIGURACION!$B$5,MIN(F32,DAY(CONFIGURACION!$B$7))))</f>
        <v>46325</v>
      </c>
      <c r="I32" s="1">
        <f>IF(G32="","",DATE(CONFIGURACION!$B$4,CONFIGURACION!$B$5,MIN(G32,DAY(CONFIGURACION!$B$7))))</f>
        <v>46325</v>
      </c>
      <c r="J32" s="1"/>
      <c r="K32" t="s">
        <v>50</v>
      </c>
      <c r="L32" t="s">
        <v>51</v>
      </c>
      <c r="M32" s="4">
        <v>0</v>
      </c>
      <c r="N32">
        <f ca="1">IF(I32="","",I32-CONFIGURACION!$B$8)</f>
        <v>16</v>
      </c>
      <c r="O32" t="str">
        <f ca="1">IF(I32="","Sin fecha",IF(K32="Cerrado","Completado",IF(I32&lt;CONFIGURACION!$B$8,"Vencido",IF(I32-CONFIGURACION!$B$8&lt;=3,"Próximo","En plazo"))))</f>
        <v>En plazo</v>
      </c>
      <c r="P32" t="s">
        <v>62</v>
      </c>
      <c r="Q32" t="s">
        <v>63</v>
      </c>
    </row>
    <row r="33" spans="1:17">
      <c r="A33" t="s">
        <v>93</v>
      </c>
      <c r="B33" t="s">
        <v>28</v>
      </c>
      <c r="C33" t="s">
        <v>48</v>
      </c>
      <c r="D33" t="s">
        <v>49</v>
      </c>
      <c r="E33" t="s">
        <v>22</v>
      </c>
      <c r="F33" s="5">
        <v>9</v>
      </c>
      <c r="G33" s="5">
        <v>11</v>
      </c>
      <c r="H33" s="1">
        <v>46299</v>
      </c>
      <c r="I33" s="1">
        <v>46301</v>
      </c>
      <c r="J33" s="1">
        <v>46303</v>
      </c>
      <c r="K33" t="s">
        <v>175</v>
      </c>
      <c r="L33" t="s">
        <v>51</v>
      </c>
      <c r="M33" s="4">
        <v>1</v>
      </c>
      <c r="N33">
        <f ca="1">IF(I33="","",I33-CONFIGURACION!$B$8)</f>
        <v>-8</v>
      </c>
      <c r="O33" t="str">
        <f>IF(I33="","Sin fecha",IF(K33="Cerrado","Completado",IF(I33&lt;CONFIGURACION!$B$8,"Vencido",IF(I33-CONFIGURACION!$B$8&lt;=3,"Próximo","En plazo"))))</f>
        <v>Completado</v>
      </c>
      <c r="P33" t="s">
        <v>52</v>
      </c>
      <c r="Q33" t="s">
        <v>53</v>
      </c>
    </row>
    <row r="34" spans="1:17">
      <c r="A34" t="s">
        <v>94</v>
      </c>
      <c r="B34" t="s">
        <v>28</v>
      </c>
      <c r="C34" t="s">
        <v>55</v>
      </c>
      <c r="D34" t="s">
        <v>56</v>
      </c>
      <c r="E34" t="s">
        <v>22</v>
      </c>
      <c r="F34" s="5">
        <v>4</v>
      </c>
      <c r="G34" s="5">
        <v>6</v>
      </c>
      <c r="H34" s="1">
        <v>46304</v>
      </c>
      <c r="I34" s="1">
        <v>46306</v>
      </c>
      <c r="J34" s="1"/>
      <c r="K34" t="s">
        <v>50</v>
      </c>
      <c r="L34" t="s">
        <v>51</v>
      </c>
      <c r="M34" s="4">
        <v>0</v>
      </c>
      <c r="N34">
        <f ca="1">IF(I34="","",I34-CONFIGURACION!$B$8)</f>
        <v>-3</v>
      </c>
      <c r="O34" t="str">
        <f ca="1">IF(I34="","Sin fecha",IF(K34="Cerrado","Completado",IF(I34&lt;CONFIGURACION!$B$8,"Vencido",IF(I34-CONFIGURACION!$B$8&lt;=3,"Próximo","En plazo"))))</f>
        <v>Vencido</v>
      </c>
      <c r="P34" t="s">
        <v>57</v>
      </c>
      <c r="Q34" t="s">
        <v>58</v>
      </c>
    </row>
    <row r="35" spans="1:17">
      <c r="A35" t="s">
        <v>95</v>
      </c>
      <c r="B35" t="s">
        <v>28</v>
      </c>
      <c r="C35" t="s">
        <v>60</v>
      </c>
      <c r="D35" t="s">
        <v>61</v>
      </c>
      <c r="F35" s="5">
        <v>5</v>
      </c>
      <c r="G35" s="5">
        <v>5</v>
      </c>
      <c r="H35" s="1">
        <f>IF(F35="","",DATE(CONFIGURACION!$B$4,CONFIGURACION!$B$5,MIN(F35,DAY(CONFIGURACION!$B$7))))</f>
        <v>46300</v>
      </c>
      <c r="I35" s="1">
        <f>IF(G35="","",DATE(CONFIGURACION!$B$4,CONFIGURACION!$B$5,MIN(G35,DAY(CONFIGURACION!$B$7))))</f>
        <v>46300</v>
      </c>
      <c r="J35" s="1"/>
      <c r="K35" t="s">
        <v>175</v>
      </c>
      <c r="L35" t="s">
        <v>51</v>
      </c>
      <c r="M35" s="4">
        <v>1</v>
      </c>
      <c r="N35">
        <f ca="1">IF(I35="","",I35-CONFIGURACION!$B$8)</f>
        <v>-9</v>
      </c>
      <c r="O35" t="str">
        <f>IF(I35="","Sin fecha",IF(K35="Cerrado","Completado",IF(I35&lt;CONFIGURACION!$B$8,"Vencido",IF(I35-CONFIGURACION!$B$8&lt;=3,"Próximo","En plazo"))))</f>
        <v>Completado</v>
      </c>
      <c r="P35" t="s">
        <v>62</v>
      </c>
      <c r="Q35" t="s">
        <v>63</v>
      </c>
    </row>
    <row r="36" spans="1:17">
      <c r="A36" t="s">
        <v>96</v>
      </c>
      <c r="B36" t="s">
        <v>28</v>
      </c>
      <c r="C36" t="s">
        <v>60</v>
      </c>
      <c r="D36" t="s">
        <v>65</v>
      </c>
      <c r="F36" s="5">
        <v>10</v>
      </c>
      <c r="G36" s="5">
        <v>10</v>
      </c>
      <c r="H36" s="1">
        <f>IF(F36="","",DATE(CONFIGURACION!$B$4,CONFIGURACION!$B$5,MIN(F36,DAY(CONFIGURACION!$B$7))))</f>
        <v>46305</v>
      </c>
      <c r="I36" s="1">
        <f>IF(G36="","",DATE(CONFIGURACION!$B$4,CONFIGURACION!$B$5,MIN(G36,DAY(CONFIGURACION!$B$7))))</f>
        <v>46305</v>
      </c>
      <c r="J36" s="1"/>
      <c r="K36" t="s">
        <v>175</v>
      </c>
      <c r="L36" t="s">
        <v>51</v>
      </c>
      <c r="M36" s="4">
        <v>1</v>
      </c>
      <c r="N36">
        <f ca="1">IF(I36="","",I36-CONFIGURACION!$B$8)</f>
        <v>-4</v>
      </c>
      <c r="O36" t="str">
        <f>IF(I36="","Sin fecha",IF(K36="Cerrado","Completado",IF(I36&lt;CONFIGURACION!$B$8,"Vencido",IF(I36-CONFIGURACION!$B$8&lt;=3,"Próximo","En plazo"))))</f>
        <v>Completado</v>
      </c>
      <c r="P36" t="s">
        <v>62</v>
      </c>
      <c r="Q36" t="s">
        <v>63</v>
      </c>
    </row>
    <row r="37" spans="1:17">
      <c r="A37" t="s">
        <v>97</v>
      </c>
      <c r="B37" t="s">
        <v>28</v>
      </c>
      <c r="C37" t="s">
        <v>60</v>
      </c>
      <c r="D37" t="s">
        <v>67</v>
      </c>
      <c r="F37" s="5">
        <v>20</v>
      </c>
      <c r="G37" s="5">
        <v>20</v>
      </c>
      <c r="H37" s="1">
        <f>IF(F37="","",DATE(CONFIGURACION!$B$4,CONFIGURACION!$B$5,MIN(F37,DAY(CONFIGURACION!$B$7))))</f>
        <v>46315</v>
      </c>
      <c r="I37" s="1">
        <f>IF(G37="","",DATE(CONFIGURACION!$B$4,CONFIGURACION!$B$5,MIN(G37,DAY(CONFIGURACION!$B$7))))</f>
        <v>46315</v>
      </c>
      <c r="J37" s="1"/>
      <c r="K37" t="s">
        <v>50</v>
      </c>
      <c r="L37" t="s">
        <v>51</v>
      </c>
      <c r="M37" s="4">
        <v>0</v>
      </c>
      <c r="N37">
        <f ca="1">IF(I37="","",I37-CONFIGURACION!$B$8)</f>
        <v>6</v>
      </c>
      <c r="O37" t="str">
        <f ca="1">IF(I37="","Sin fecha",IF(K37="Cerrado","Completado",IF(I37&lt;CONFIGURACION!$B$8,"Vencido",IF(I37-CONFIGURACION!$B$8&lt;=3,"Próximo","En plazo"))))</f>
        <v>En plazo</v>
      </c>
      <c r="P37" t="s">
        <v>62</v>
      </c>
      <c r="Q37" t="s">
        <v>63</v>
      </c>
    </row>
    <row r="38" spans="1:17">
      <c r="A38" t="s">
        <v>98</v>
      </c>
      <c r="B38" t="s">
        <v>28</v>
      </c>
      <c r="C38" t="s">
        <v>60</v>
      </c>
      <c r="D38" t="s">
        <v>69</v>
      </c>
      <c r="F38" s="5">
        <v>26</v>
      </c>
      <c r="G38" s="5">
        <v>26</v>
      </c>
      <c r="H38" s="1">
        <f>IF(F38="","",DATE(CONFIGURACION!$B$4,CONFIGURACION!$B$5,MIN(F38,DAY(CONFIGURACION!$B$7))))</f>
        <v>46321</v>
      </c>
      <c r="I38" s="1">
        <f>IF(G38="","",DATE(CONFIGURACION!$B$4,CONFIGURACION!$B$5,MIN(G38,DAY(CONFIGURACION!$B$7))))</f>
        <v>46321</v>
      </c>
      <c r="J38" s="1"/>
      <c r="K38" t="s">
        <v>50</v>
      </c>
      <c r="L38" t="s">
        <v>51</v>
      </c>
      <c r="M38" s="4">
        <v>0</v>
      </c>
      <c r="N38">
        <f ca="1">IF(I38="","",I38-CONFIGURACION!$B$8)</f>
        <v>12</v>
      </c>
      <c r="O38" t="str">
        <f ca="1">IF(I38="","Sin fecha",IF(K38="Cerrado","Completado",IF(I38&lt;CONFIGURACION!$B$8,"Vencido",IF(I38-CONFIGURACION!$B$8&lt;=3,"Próximo","En plazo"))))</f>
        <v>En plazo</v>
      </c>
      <c r="P38" t="s">
        <v>62</v>
      </c>
      <c r="Q38" t="s">
        <v>63</v>
      </c>
    </row>
    <row r="39" spans="1:17">
      <c r="A39" t="s">
        <v>99</v>
      </c>
      <c r="B39" t="s">
        <v>28</v>
      </c>
      <c r="C39" t="s">
        <v>60</v>
      </c>
      <c r="D39" t="s">
        <v>71</v>
      </c>
      <c r="F39" s="5">
        <v>30</v>
      </c>
      <c r="G39" s="5">
        <v>30</v>
      </c>
      <c r="H39" s="1">
        <f>IF(F39="","",DATE(CONFIGURACION!$B$4,CONFIGURACION!$B$5,MIN(F39,DAY(CONFIGURACION!$B$7))))</f>
        <v>46325</v>
      </c>
      <c r="I39" s="1">
        <f>IF(G39="","",DATE(CONFIGURACION!$B$4,CONFIGURACION!$B$5,MIN(G39,DAY(CONFIGURACION!$B$7))))</f>
        <v>46325</v>
      </c>
      <c r="J39" s="1"/>
      <c r="K39" t="s">
        <v>50</v>
      </c>
      <c r="L39" t="s">
        <v>51</v>
      </c>
      <c r="M39" s="4">
        <v>0</v>
      </c>
      <c r="N39">
        <f ca="1">IF(I39="","",I39-CONFIGURACION!$B$8)</f>
        <v>16</v>
      </c>
      <c r="O39" t="str">
        <f ca="1">IF(I39="","Sin fecha",IF(K39="Cerrado","Completado",IF(I39&lt;CONFIGURACION!$B$8,"Vencido",IF(I39-CONFIGURACION!$B$8&lt;=3,"Próximo","En plazo"))))</f>
        <v>En plazo</v>
      </c>
      <c r="P39" t="s">
        <v>62</v>
      </c>
      <c r="Q39" t="s">
        <v>63</v>
      </c>
    </row>
    <row r="40" spans="1:17">
      <c r="A40" t="s">
        <v>100</v>
      </c>
      <c r="B40" t="s">
        <v>29</v>
      </c>
      <c r="C40" t="s">
        <v>48</v>
      </c>
      <c r="D40" t="s">
        <v>49</v>
      </c>
      <c r="F40" s="5"/>
      <c r="G40" s="5"/>
      <c r="H40" s="1" t="str">
        <f>IF(F40="","",DATE(CONFIGURACION!$B$4,CONFIGURACION!$B$5,MIN(F40,DAY(CONFIGURACION!$B$7))))</f>
        <v/>
      </c>
      <c r="I40" s="1" t="str">
        <f>IF(G40="","",DATE(CONFIGURACION!$B$4,CONFIGURACION!$B$5,MIN(G40,DAY(CONFIGURACION!$B$7))))</f>
        <v/>
      </c>
      <c r="J40" s="1"/>
      <c r="K40" t="s">
        <v>50</v>
      </c>
      <c r="L40" t="s">
        <v>51</v>
      </c>
      <c r="M40" s="4">
        <v>0</v>
      </c>
      <c r="N40" t="str">
        <f>IF(I40="","",I40-CONFIGURACION!$B$8)</f>
        <v/>
      </c>
      <c r="O40" t="str">
        <f>IF(I40="","Sin fecha",IF(K40="Cerrado","Completado",IF(I40&lt;CONFIGURACION!$B$8,"Vencido",IF(I40-CONFIGURACION!$B$8&lt;=3,"Próximo","En plazo"))))</f>
        <v>Sin fecha</v>
      </c>
      <c r="P40" t="s">
        <v>101</v>
      </c>
      <c r="Q40" t="s">
        <v>102</v>
      </c>
    </row>
    <row r="41" spans="1:17">
      <c r="A41" t="s">
        <v>103</v>
      </c>
      <c r="B41" t="s">
        <v>29</v>
      </c>
      <c r="C41" t="s">
        <v>55</v>
      </c>
      <c r="D41" t="s">
        <v>56</v>
      </c>
      <c r="F41" s="5"/>
      <c r="G41" s="5"/>
      <c r="H41" s="1" t="str">
        <f>IF(F41="","",DATE(CONFIGURACION!$B$4,CONFIGURACION!$B$5,MIN(F41,DAY(CONFIGURACION!$B$7))))</f>
        <v/>
      </c>
      <c r="I41" s="1" t="str">
        <f>IF(G41="","",DATE(CONFIGURACION!$B$4,CONFIGURACION!$B$5,MIN(G41,DAY(CONFIGURACION!$B$7))))</f>
        <v/>
      </c>
      <c r="J41" s="1"/>
      <c r="K41" t="s">
        <v>50</v>
      </c>
      <c r="L41" t="s">
        <v>51</v>
      </c>
      <c r="M41" s="4">
        <v>0</v>
      </c>
      <c r="N41" t="str">
        <f>IF(I41="","",I41-CONFIGURACION!$B$8)</f>
        <v/>
      </c>
      <c r="O41" t="str">
        <f>IF(I41="","Sin fecha",IF(K41="Cerrado","Completado",IF(I41&lt;CONFIGURACION!$B$8,"Vencido",IF(I41-CONFIGURACION!$B$8&lt;=3,"Próximo","En plazo"))))</f>
        <v>Sin fecha</v>
      </c>
      <c r="P41" t="s">
        <v>101</v>
      </c>
      <c r="Q41" t="s">
        <v>102</v>
      </c>
    </row>
    <row r="42" spans="1:17">
      <c r="A42" t="s">
        <v>104</v>
      </c>
      <c r="B42" t="s">
        <v>29</v>
      </c>
      <c r="C42" t="s">
        <v>60</v>
      </c>
      <c r="D42" t="s">
        <v>61</v>
      </c>
      <c r="F42" s="5">
        <v>5</v>
      </c>
      <c r="G42" s="5">
        <v>5</v>
      </c>
      <c r="H42" s="1">
        <f>IF(F42="","",DATE(CONFIGURACION!$B$4,CONFIGURACION!$B$5,MIN(F42,DAY(CONFIGURACION!$B$7))))</f>
        <v>46300</v>
      </c>
      <c r="I42" s="1">
        <f>IF(G42="","",DATE(CONFIGURACION!$B$4,CONFIGURACION!$B$5,MIN(G42,DAY(CONFIGURACION!$B$7))))</f>
        <v>46300</v>
      </c>
      <c r="J42" s="1"/>
      <c r="K42" t="s">
        <v>175</v>
      </c>
      <c r="L42" t="s">
        <v>51</v>
      </c>
      <c r="M42" s="4">
        <v>1</v>
      </c>
      <c r="N42">
        <f ca="1">IF(I42="","",I42-CONFIGURACION!$B$8)</f>
        <v>-9</v>
      </c>
      <c r="O42" t="str">
        <f>IF(I42="","Sin fecha",IF(K42="Cerrado","Completado",IF(I42&lt;CONFIGURACION!$B$8,"Vencido",IF(I42-CONFIGURACION!$B$8&lt;=3,"Próximo","En plazo"))))</f>
        <v>Completado</v>
      </c>
      <c r="P42" t="s">
        <v>62</v>
      </c>
      <c r="Q42" t="s">
        <v>63</v>
      </c>
    </row>
    <row r="43" spans="1:17">
      <c r="A43" t="s">
        <v>105</v>
      </c>
      <c r="B43" t="s">
        <v>29</v>
      </c>
      <c r="C43" t="s">
        <v>60</v>
      </c>
      <c r="D43" t="s">
        <v>65</v>
      </c>
      <c r="F43" s="5">
        <v>10</v>
      </c>
      <c r="G43" s="5">
        <v>10</v>
      </c>
      <c r="H43" s="1">
        <f>IF(F43="","",DATE(CONFIGURACION!$B$4,CONFIGURACION!$B$5,MIN(F43,DAY(CONFIGURACION!$B$7))))</f>
        <v>46305</v>
      </c>
      <c r="I43" s="1">
        <f>IF(G43="","",DATE(CONFIGURACION!$B$4,CONFIGURACION!$B$5,MIN(G43,DAY(CONFIGURACION!$B$7))))</f>
        <v>46305</v>
      </c>
      <c r="J43" s="1"/>
      <c r="K43" t="s">
        <v>175</v>
      </c>
      <c r="L43" t="s">
        <v>51</v>
      </c>
      <c r="M43" s="4">
        <v>1</v>
      </c>
      <c r="N43">
        <f ca="1">IF(I43="","",I43-CONFIGURACION!$B$8)</f>
        <v>-4</v>
      </c>
      <c r="O43" t="str">
        <f>IF(I43="","Sin fecha",IF(K43="Cerrado","Completado",IF(I43&lt;CONFIGURACION!$B$8,"Vencido",IF(I43-CONFIGURACION!$B$8&lt;=3,"Próximo","En plazo"))))</f>
        <v>Completado</v>
      </c>
      <c r="P43" t="s">
        <v>62</v>
      </c>
      <c r="Q43" t="s">
        <v>63</v>
      </c>
    </row>
    <row r="44" spans="1:17">
      <c r="A44" t="s">
        <v>106</v>
      </c>
      <c r="B44" t="s">
        <v>29</v>
      </c>
      <c r="C44" t="s">
        <v>60</v>
      </c>
      <c r="D44" t="s">
        <v>67</v>
      </c>
      <c r="F44" s="5">
        <v>20</v>
      </c>
      <c r="G44" s="5">
        <v>20</v>
      </c>
      <c r="H44" s="1">
        <f>IF(F44="","",DATE(CONFIGURACION!$B$4,CONFIGURACION!$B$5,MIN(F44,DAY(CONFIGURACION!$B$7))))</f>
        <v>46315</v>
      </c>
      <c r="I44" s="1">
        <f>IF(G44="","",DATE(CONFIGURACION!$B$4,CONFIGURACION!$B$5,MIN(G44,DAY(CONFIGURACION!$B$7))))</f>
        <v>46315</v>
      </c>
      <c r="J44" s="1"/>
      <c r="K44" t="s">
        <v>50</v>
      </c>
      <c r="L44" t="s">
        <v>51</v>
      </c>
      <c r="M44" s="4">
        <v>0</v>
      </c>
      <c r="N44">
        <f ca="1">IF(I44="","",I44-CONFIGURACION!$B$8)</f>
        <v>6</v>
      </c>
      <c r="O44" t="str">
        <f ca="1">IF(I44="","Sin fecha",IF(K44="Cerrado","Completado",IF(I44&lt;CONFIGURACION!$B$8,"Vencido",IF(I44-CONFIGURACION!$B$8&lt;=3,"Próximo","En plazo"))))</f>
        <v>En plazo</v>
      </c>
      <c r="P44" t="s">
        <v>62</v>
      </c>
      <c r="Q44" t="s">
        <v>63</v>
      </c>
    </row>
    <row r="45" spans="1:17">
      <c r="A45" t="s">
        <v>107</v>
      </c>
      <c r="B45" t="s">
        <v>29</v>
      </c>
      <c r="C45" t="s">
        <v>60</v>
      </c>
      <c r="D45" t="s">
        <v>69</v>
      </c>
      <c r="F45" s="5">
        <v>26</v>
      </c>
      <c r="G45" s="5">
        <v>26</v>
      </c>
      <c r="H45" s="1">
        <f>IF(F45="","",DATE(CONFIGURACION!$B$4,CONFIGURACION!$B$5,MIN(F45,DAY(CONFIGURACION!$B$7))))</f>
        <v>46321</v>
      </c>
      <c r="I45" s="1">
        <f>IF(G45="","",DATE(CONFIGURACION!$B$4,CONFIGURACION!$B$5,MIN(G45,DAY(CONFIGURACION!$B$7))))</f>
        <v>46321</v>
      </c>
      <c r="J45" s="1"/>
      <c r="K45" t="s">
        <v>50</v>
      </c>
      <c r="L45" t="s">
        <v>51</v>
      </c>
      <c r="M45" s="4">
        <v>0</v>
      </c>
      <c r="N45">
        <f ca="1">IF(I45="","",I45-CONFIGURACION!$B$8)</f>
        <v>12</v>
      </c>
      <c r="O45" t="str">
        <f ca="1">IF(I45="","Sin fecha",IF(K45="Cerrado","Completado",IF(I45&lt;CONFIGURACION!$B$8,"Vencido",IF(I45-CONFIGURACION!$B$8&lt;=3,"Próximo","En plazo"))))</f>
        <v>En plazo</v>
      </c>
      <c r="P45" t="s">
        <v>62</v>
      </c>
      <c r="Q45" t="s">
        <v>63</v>
      </c>
    </row>
    <row r="46" spans="1:17">
      <c r="A46" t="s">
        <v>108</v>
      </c>
      <c r="B46" t="s">
        <v>29</v>
      </c>
      <c r="C46" t="s">
        <v>60</v>
      </c>
      <c r="D46" t="s">
        <v>71</v>
      </c>
      <c r="F46" s="5">
        <v>30</v>
      </c>
      <c r="G46" s="5">
        <v>30</v>
      </c>
      <c r="H46" s="1">
        <f>IF(F46="","",DATE(CONFIGURACION!$B$4,CONFIGURACION!$B$5,MIN(F46,DAY(CONFIGURACION!$B$7))))</f>
        <v>46325</v>
      </c>
      <c r="I46" s="1">
        <f>IF(G46="","",DATE(CONFIGURACION!$B$4,CONFIGURACION!$B$5,MIN(G46,DAY(CONFIGURACION!$B$7))))</f>
        <v>46325</v>
      </c>
      <c r="J46" s="1"/>
      <c r="K46" t="s">
        <v>50</v>
      </c>
      <c r="L46" t="s">
        <v>51</v>
      </c>
      <c r="M46" s="4">
        <v>0</v>
      </c>
      <c r="N46">
        <f ca="1">IF(I46="","",I46-CONFIGURACION!$B$8)</f>
        <v>16</v>
      </c>
      <c r="O46" t="str">
        <f ca="1">IF(I46="","Sin fecha",IF(K46="Cerrado","Completado",IF(I46&lt;CONFIGURACION!$B$8,"Vencido",IF(I46-CONFIGURACION!$B$8&lt;=3,"Próximo","En plazo"))))</f>
        <v>En plazo</v>
      </c>
      <c r="P46" t="s">
        <v>62</v>
      </c>
      <c r="Q46" t="s">
        <v>63</v>
      </c>
    </row>
    <row r="47" spans="1:17">
      <c r="A47" t="s">
        <v>109</v>
      </c>
      <c r="B47" t="s">
        <v>30</v>
      </c>
      <c r="C47" t="s">
        <v>48</v>
      </c>
      <c r="D47" t="s">
        <v>49</v>
      </c>
      <c r="F47" s="5"/>
      <c r="G47" s="5"/>
      <c r="H47" s="1" t="str">
        <f>IF(F47="","",DATE(CONFIGURACION!$B$4,CONFIGURACION!$B$5,MIN(F47,DAY(CONFIGURACION!$B$7))))</f>
        <v/>
      </c>
      <c r="I47" s="1" t="str">
        <f>IF(G47="","",DATE(CONFIGURACION!$B$4,CONFIGURACION!$B$5,MIN(G47,DAY(CONFIGURACION!$B$7))))</f>
        <v/>
      </c>
      <c r="J47" s="1"/>
      <c r="K47" t="s">
        <v>50</v>
      </c>
      <c r="L47" t="s">
        <v>51</v>
      </c>
      <c r="M47" s="4">
        <v>0</v>
      </c>
      <c r="N47" t="str">
        <f>IF(I47="","",I47-CONFIGURACION!$B$8)</f>
        <v/>
      </c>
      <c r="O47" t="str">
        <f>IF(I47="","Sin fecha",IF(K47="Cerrado","Completado",IF(I47&lt;CONFIGURACION!$B$8,"Vencido",IF(I47-CONFIGURACION!$B$8&lt;=3,"Próximo","En plazo"))))</f>
        <v>Sin fecha</v>
      </c>
      <c r="P47" t="s">
        <v>101</v>
      </c>
      <c r="Q47" t="s">
        <v>102</v>
      </c>
    </row>
    <row r="48" spans="1:17">
      <c r="A48" t="s">
        <v>110</v>
      </c>
      <c r="B48" t="s">
        <v>30</v>
      </c>
      <c r="C48" t="s">
        <v>55</v>
      </c>
      <c r="D48" t="s">
        <v>56</v>
      </c>
      <c r="F48" s="5"/>
      <c r="G48" s="5"/>
      <c r="H48" s="1" t="str">
        <f>IF(F48="","",DATE(CONFIGURACION!$B$4,CONFIGURACION!$B$5,MIN(F48,DAY(CONFIGURACION!$B$7))))</f>
        <v/>
      </c>
      <c r="I48" s="1" t="str">
        <f>IF(G48="","",DATE(CONFIGURACION!$B$4,CONFIGURACION!$B$5,MIN(G48,DAY(CONFIGURACION!$B$7))))</f>
        <v/>
      </c>
      <c r="J48" s="1"/>
      <c r="K48" t="s">
        <v>50</v>
      </c>
      <c r="L48" t="s">
        <v>51</v>
      </c>
      <c r="M48" s="4">
        <v>0</v>
      </c>
      <c r="N48" t="str">
        <f>IF(I48="","",I48-CONFIGURACION!$B$8)</f>
        <v/>
      </c>
      <c r="O48" t="str">
        <f>IF(I48="","Sin fecha",IF(K48="Cerrado","Completado",IF(I48&lt;CONFIGURACION!$B$8,"Vencido",IF(I48-CONFIGURACION!$B$8&lt;=3,"Próximo","En plazo"))))</f>
        <v>Sin fecha</v>
      </c>
      <c r="P48" t="s">
        <v>101</v>
      </c>
      <c r="Q48" t="s">
        <v>102</v>
      </c>
    </row>
    <row r="49" spans="1:17">
      <c r="A49" t="s">
        <v>111</v>
      </c>
      <c r="B49" t="s">
        <v>30</v>
      </c>
      <c r="C49" t="s">
        <v>60</v>
      </c>
      <c r="D49" t="s">
        <v>61</v>
      </c>
      <c r="F49" s="5">
        <v>5</v>
      </c>
      <c r="G49" s="5">
        <v>5</v>
      </c>
      <c r="H49" s="1">
        <f>IF(F49="","",DATE(CONFIGURACION!$B$4,CONFIGURACION!$B$5,MIN(F49,DAY(CONFIGURACION!$B$7))))</f>
        <v>46300</v>
      </c>
      <c r="I49" s="1">
        <f>IF(G49="","",DATE(CONFIGURACION!$B$4,CONFIGURACION!$B$5,MIN(G49,DAY(CONFIGURACION!$B$7))))</f>
        <v>46300</v>
      </c>
      <c r="J49" s="1"/>
      <c r="K49" t="s">
        <v>175</v>
      </c>
      <c r="L49" t="s">
        <v>51</v>
      </c>
      <c r="M49" s="4">
        <v>1</v>
      </c>
      <c r="N49">
        <f ca="1">IF(I49="","",I49-CONFIGURACION!$B$8)</f>
        <v>-9</v>
      </c>
      <c r="O49" t="str">
        <f>IF(I49="","Sin fecha",IF(K49="Cerrado","Completado",IF(I49&lt;CONFIGURACION!$B$8,"Vencido",IF(I49-CONFIGURACION!$B$8&lt;=3,"Próximo","En plazo"))))</f>
        <v>Completado</v>
      </c>
      <c r="P49" t="s">
        <v>62</v>
      </c>
      <c r="Q49" t="s">
        <v>63</v>
      </c>
    </row>
    <row r="50" spans="1:17">
      <c r="A50" t="s">
        <v>112</v>
      </c>
      <c r="B50" t="s">
        <v>30</v>
      </c>
      <c r="C50" t="s">
        <v>60</v>
      </c>
      <c r="D50" t="s">
        <v>65</v>
      </c>
      <c r="F50" s="5">
        <v>10</v>
      </c>
      <c r="G50" s="5">
        <v>10</v>
      </c>
      <c r="H50" s="1">
        <f>IF(F50="","",DATE(CONFIGURACION!$B$4,CONFIGURACION!$B$5,MIN(F50,DAY(CONFIGURACION!$B$7))))</f>
        <v>46305</v>
      </c>
      <c r="I50" s="1">
        <f>IF(G50="","",DATE(CONFIGURACION!$B$4,CONFIGURACION!$B$5,MIN(G50,DAY(CONFIGURACION!$B$7))))</f>
        <v>46305</v>
      </c>
      <c r="J50" s="1"/>
      <c r="K50" t="s">
        <v>175</v>
      </c>
      <c r="L50" t="s">
        <v>51</v>
      </c>
      <c r="M50" s="4">
        <v>1</v>
      </c>
      <c r="N50">
        <f ca="1">IF(I50="","",I50-CONFIGURACION!$B$8)</f>
        <v>-4</v>
      </c>
      <c r="O50" t="str">
        <f>IF(I50="","Sin fecha",IF(K50="Cerrado","Completado",IF(I50&lt;CONFIGURACION!$B$8,"Vencido",IF(I50-CONFIGURACION!$B$8&lt;=3,"Próximo","En plazo"))))</f>
        <v>Completado</v>
      </c>
      <c r="P50" t="s">
        <v>62</v>
      </c>
      <c r="Q50" t="s">
        <v>63</v>
      </c>
    </row>
    <row r="51" spans="1:17">
      <c r="A51" t="s">
        <v>113</v>
      </c>
      <c r="B51" t="s">
        <v>30</v>
      </c>
      <c r="C51" t="s">
        <v>60</v>
      </c>
      <c r="D51" t="s">
        <v>67</v>
      </c>
      <c r="F51" s="5">
        <v>20</v>
      </c>
      <c r="G51" s="5">
        <v>20</v>
      </c>
      <c r="H51" s="1">
        <f>IF(F51="","",DATE(CONFIGURACION!$B$4,CONFIGURACION!$B$5,MIN(F51,DAY(CONFIGURACION!$B$7))))</f>
        <v>46315</v>
      </c>
      <c r="I51" s="1">
        <f>IF(G51="","",DATE(CONFIGURACION!$B$4,CONFIGURACION!$B$5,MIN(G51,DAY(CONFIGURACION!$B$7))))</f>
        <v>46315</v>
      </c>
      <c r="J51" s="1"/>
      <c r="K51" t="s">
        <v>50</v>
      </c>
      <c r="L51" t="s">
        <v>51</v>
      </c>
      <c r="M51" s="4">
        <v>0</v>
      </c>
      <c r="N51">
        <f ca="1">IF(I51="","",I51-CONFIGURACION!$B$8)</f>
        <v>6</v>
      </c>
      <c r="O51" t="str">
        <f ca="1">IF(I51="","Sin fecha",IF(K51="Cerrado","Completado",IF(I51&lt;CONFIGURACION!$B$8,"Vencido",IF(I51-CONFIGURACION!$B$8&lt;=3,"Próximo","En plazo"))))</f>
        <v>En plazo</v>
      </c>
      <c r="P51" t="s">
        <v>62</v>
      </c>
      <c r="Q51" t="s">
        <v>63</v>
      </c>
    </row>
    <row r="52" spans="1:17">
      <c r="A52" t="s">
        <v>114</v>
      </c>
      <c r="B52" t="s">
        <v>30</v>
      </c>
      <c r="C52" t="s">
        <v>60</v>
      </c>
      <c r="D52" t="s">
        <v>69</v>
      </c>
      <c r="F52" s="5">
        <v>26</v>
      </c>
      <c r="G52" s="5">
        <v>26</v>
      </c>
      <c r="H52" s="1">
        <f>IF(F52="","",DATE(CONFIGURACION!$B$4,CONFIGURACION!$B$5,MIN(F52,DAY(CONFIGURACION!$B$7))))</f>
        <v>46321</v>
      </c>
      <c r="I52" s="1">
        <f>IF(G52="","",DATE(CONFIGURACION!$B$4,CONFIGURACION!$B$5,MIN(G52,DAY(CONFIGURACION!$B$7))))</f>
        <v>46321</v>
      </c>
      <c r="J52" s="1"/>
      <c r="K52" t="s">
        <v>50</v>
      </c>
      <c r="L52" t="s">
        <v>51</v>
      </c>
      <c r="M52" s="4">
        <v>0</v>
      </c>
      <c r="N52">
        <f ca="1">IF(I52="","",I52-CONFIGURACION!$B$8)</f>
        <v>12</v>
      </c>
      <c r="O52" t="str">
        <f ca="1">IF(I52="","Sin fecha",IF(K52="Cerrado","Completado",IF(I52&lt;CONFIGURACION!$B$8,"Vencido",IF(I52-CONFIGURACION!$B$8&lt;=3,"Próximo","En plazo"))))</f>
        <v>En plazo</v>
      </c>
      <c r="P52" t="s">
        <v>62</v>
      </c>
      <c r="Q52" t="s">
        <v>63</v>
      </c>
    </row>
    <row r="53" spans="1:17">
      <c r="A53" t="s">
        <v>115</v>
      </c>
      <c r="B53" t="s">
        <v>30</v>
      </c>
      <c r="C53" t="s">
        <v>60</v>
      </c>
      <c r="D53" t="s">
        <v>71</v>
      </c>
      <c r="F53" s="5">
        <v>30</v>
      </c>
      <c r="G53" s="5">
        <v>30</v>
      </c>
      <c r="H53" s="1">
        <f>IF(F53="","",DATE(CONFIGURACION!$B$4,CONFIGURACION!$B$5,MIN(F53,DAY(CONFIGURACION!$B$7))))</f>
        <v>46325</v>
      </c>
      <c r="I53" s="1">
        <f>IF(G53="","",DATE(CONFIGURACION!$B$4,CONFIGURACION!$B$5,MIN(G53,DAY(CONFIGURACION!$B$7))))</f>
        <v>46325</v>
      </c>
      <c r="J53" s="1"/>
      <c r="K53" t="s">
        <v>50</v>
      </c>
      <c r="L53" t="s">
        <v>51</v>
      </c>
      <c r="M53" s="4">
        <v>0</v>
      </c>
      <c r="N53">
        <f ca="1">IF(I53="","",I53-CONFIGURACION!$B$8)</f>
        <v>16</v>
      </c>
      <c r="O53" t="str">
        <f ca="1">IF(I53="","Sin fecha",IF(K53="Cerrado","Completado",IF(I53&lt;CONFIGURACION!$B$8,"Vencido",IF(I53-CONFIGURACION!$B$8&lt;=3,"Próximo","En plazo"))))</f>
        <v>En plazo</v>
      </c>
      <c r="P53" t="s">
        <v>62</v>
      </c>
      <c r="Q53" t="s">
        <v>63</v>
      </c>
    </row>
    <row r="54" spans="1:17">
      <c r="A54" t="s">
        <v>116</v>
      </c>
      <c r="B54" t="s">
        <v>31</v>
      </c>
      <c r="C54" t="s">
        <v>48</v>
      </c>
      <c r="D54" t="s">
        <v>49</v>
      </c>
      <c r="E54" t="s">
        <v>22</v>
      </c>
      <c r="F54" s="5">
        <v>24</v>
      </c>
      <c r="G54" s="5">
        <v>29</v>
      </c>
      <c r="H54" s="1">
        <v>46306</v>
      </c>
      <c r="I54" s="1">
        <v>46308</v>
      </c>
      <c r="J54" s="1"/>
      <c r="K54" t="s">
        <v>50</v>
      </c>
      <c r="L54" t="s">
        <v>51</v>
      </c>
      <c r="M54" s="4">
        <v>0</v>
      </c>
      <c r="N54">
        <f ca="1">IF(I54="","",I54-CONFIGURACION!$B$8)</f>
        <v>-1</v>
      </c>
      <c r="O54" t="str">
        <f ca="1">IF(I54="","Sin fecha",IF(K54="Cerrado","Completado",IF(I54&lt;CONFIGURACION!$B$8,"Vencido",IF(I54-CONFIGURACION!$B$8&lt;=3,"Próximo","En plazo"))))</f>
        <v>Vencido</v>
      </c>
      <c r="P54" t="s">
        <v>52</v>
      </c>
      <c r="Q54" t="s">
        <v>53</v>
      </c>
    </row>
    <row r="55" spans="1:17">
      <c r="A55" t="s">
        <v>117</v>
      </c>
      <c r="B55" t="s">
        <v>31</v>
      </c>
      <c r="C55" t="s">
        <v>55</v>
      </c>
      <c r="D55" t="s">
        <v>56</v>
      </c>
      <c r="E55" t="s">
        <v>22</v>
      </c>
      <c r="F55" s="5">
        <v>11</v>
      </c>
      <c r="G55" s="5">
        <v>13</v>
      </c>
      <c r="H55" s="1">
        <v>46319</v>
      </c>
      <c r="I55" s="1">
        <v>46324</v>
      </c>
      <c r="J55" s="1"/>
      <c r="K55" t="s">
        <v>50</v>
      </c>
      <c r="L55" t="s">
        <v>51</v>
      </c>
      <c r="M55" s="4">
        <v>0</v>
      </c>
      <c r="N55">
        <f ca="1">IF(I55="","",I55-CONFIGURACION!$B$8)</f>
        <v>15</v>
      </c>
      <c r="O55" t="str">
        <f ca="1">IF(I55="","Sin fecha",IF(K55="Cerrado","Completado",IF(I55&lt;CONFIGURACION!$B$8,"Vencido",IF(I55-CONFIGURACION!$B$8&lt;=3,"Próximo","En plazo"))))</f>
        <v>En plazo</v>
      </c>
      <c r="P55" t="s">
        <v>57</v>
      </c>
      <c r="Q55" t="s">
        <v>58</v>
      </c>
    </row>
    <row r="56" spans="1:17">
      <c r="A56" t="s">
        <v>118</v>
      </c>
      <c r="B56" t="s">
        <v>31</v>
      </c>
      <c r="C56" t="s">
        <v>60</v>
      </c>
      <c r="D56" t="s">
        <v>61</v>
      </c>
      <c r="F56" s="5">
        <v>5</v>
      </c>
      <c r="G56" s="5">
        <v>5</v>
      </c>
      <c r="H56" s="1">
        <f>IF(F56="","",DATE(CONFIGURACION!$B$4,CONFIGURACION!$B$5,MIN(F56,DAY(CONFIGURACION!$B$7))))</f>
        <v>46300</v>
      </c>
      <c r="I56" s="1">
        <f>IF(G56="","",DATE(CONFIGURACION!$B$4,CONFIGURACION!$B$5,MIN(G56,DAY(CONFIGURACION!$B$7))))</f>
        <v>46300</v>
      </c>
      <c r="J56" s="1"/>
      <c r="K56" t="s">
        <v>175</v>
      </c>
      <c r="L56" t="s">
        <v>51</v>
      </c>
      <c r="M56" s="4">
        <v>1</v>
      </c>
      <c r="N56">
        <f ca="1">IF(I56="","",I56-CONFIGURACION!$B$8)</f>
        <v>-9</v>
      </c>
      <c r="O56" t="str">
        <f>IF(I56="","Sin fecha",IF(K56="Cerrado","Completado",IF(I56&lt;CONFIGURACION!$B$8,"Vencido",IF(I56-CONFIGURACION!$B$8&lt;=3,"Próximo","En plazo"))))</f>
        <v>Completado</v>
      </c>
      <c r="P56" t="s">
        <v>62</v>
      </c>
      <c r="Q56" t="s">
        <v>63</v>
      </c>
    </row>
    <row r="57" spans="1:17">
      <c r="A57" t="s">
        <v>119</v>
      </c>
      <c r="B57" t="s">
        <v>31</v>
      </c>
      <c r="C57" t="s">
        <v>60</v>
      </c>
      <c r="D57" t="s">
        <v>65</v>
      </c>
      <c r="F57" s="5">
        <v>10</v>
      </c>
      <c r="G57" s="5">
        <v>10</v>
      </c>
      <c r="H57" s="1">
        <f>IF(F57="","",DATE(CONFIGURACION!$B$4,CONFIGURACION!$B$5,MIN(F57,DAY(CONFIGURACION!$B$7))))</f>
        <v>46305</v>
      </c>
      <c r="I57" s="1">
        <f>IF(G57="","",DATE(CONFIGURACION!$B$4,CONFIGURACION!$B$5,MIN(G57,DAY(CONFIGURACION!$B$7))))</f>
        <v>46305</v>
      </c>
      <c r="J57" s="1"/>
      <c r="K57" t="s">
        <v>175</v>
      </c>
      <c r="L57" t="s">
        <v>51</v>
      </c>
      <c r="M57" s="4">
        <v>1</v>
      </c>
      <c r="N57">
        <f ca="1">IF(I57="","",I57-CONFIGURACION!$B$8)</f>
        <v>-4</v>
      </c>
      <c r="O57" t="str">
        <f>IF(I57="","Sin fecha",IF(K57="Cerrado","Completado",IF(I57&lt;CONFIGURACION!$B$8,"Vencido",IF(I57-CONFIGURACION!$B$8&lt;=3,"Próximo","En plazo"))))</f>
        <v>Completado</v>
      </c>
      <c r="P57" t="s">
        <v>62</v>
      </c>
      <c r="Q57" t="s">
        <v>63</v>
      </c>
    </row>
    <row r="58" spans="1:17">
      <c r="A58" t="s">
        <v>120</v>
      </c>
      <c r="B58" t="s">
        <v>31</v>
      </c>
      <c r="C58" t="s">
        <v>60</v>
      </c>
      <c r="D58" t="s">
        <v>67</v>
      </c>
      <c r="F58" s="5">
        <v>20</v>
      </c>
      <c r="G58" s="5">
        <v>20</v>
      </c>
      <c r="H58" s="1">
        <f>IF(F58="","",DATE(CONFIGURACION!$B$4,CONFIGURACION!$B$5,MIN(F58,DAY(CONFIGURACION!$B$7))))</f>
        <v>46315</v>
      </c>
      <c r="I58" s="1">
        <f>IF(G58="","",DATE(CONFIGURACION!$B$4,CONFIGURACION!$B$5,MIN(G58,DAY(CONFIGURACION!$B$7))))</f>
        <v>46315</v>
      </c>
      <c r="J58" s="1"/>
      <c r="K58" t="s">
        <v>50</v>
      </c>
      <c r="L58" t="s">
        <v>51</v>
      </c>
      <c r="M58" s="4">
        <v>0</v>
      </c>
      <c r="N58">
        <f ca="1">IF(I58="","",I58-CONFIGURACION!$B$8)</f>
        <v>6</v>
      </c>
      <c r="O58" t="str">
        <f ca="1">IF(I58="","Sin fecha",IF(K58="Cerrado","Completado",IF(I58&lt;CONFIGURACION!$B$8,"Vencido",IF(I58-CONFIGURACION!$B$8&lt;=3,"Próximo","En plazo"))))</f>
        <v>En plazo</v>
      </c>
      <c r="P58" t="s">
        <v>62</v>
      </c>
      <c r="Q58" t="s">
        <v>63</v>
      </c>
    </row>
    <row r="59" spans="1:17">
      <c r="A59" t="s">
        <v>121</v>
      </c>
      <c r="B59" t="s">
        <v>31</v>
      </c>
      <c r="C59" t="s">
        <v>60</v>
      </c>
      <c r="D59" t="s">
        <v>69</v>
      </c>
      <c r="F59" s="5">
        <v>26</v>
      </c>
      <c r="G59" s="5">
        <v>26</v>
      </c>
      <c r="H59" s="1">
        <f>IF(F59="","",DATE(CONFIGURACION!$B$4,CONFIGURACION!$B$5,MIN(F59,DAY(CONFIGURACION!$B$7))))</f>
        <v>46321</v>
      </c>
      <c r="I59" s="1">
        <f>IF(G59="","",DATE(CONFIGURACION!$B$4,CONFIGURACION!$B$5,MIN(G59,DAY(CONFIGURACION!$B$7))))</f>
        <v>46321</v>
      </c>
      <c r="J59" s="1"/>
      <c r="K59" t="s">
        <v>50</v>
      </c>
      <c r="L59" t="s">
        <v>51</v>
      </c>
      <c r="M59" s="4">
        <v>0</v>
      </c>
      <c r="N59">
        <f ca="1">IF(I59="","",I59-CONFIGURACION!$B$8)</f>
        <v>12</v>
      </c>
      <c r="O59" t="str">
        <f ca="1">IF(I59="","Sin fecha",IF(K59="Cerrado","Completado",IF(I59&lt;CONFIGURACION!$B$8,"Vencido",IF(I59-CONFIGURACION!$B$8&lt;=3,"Próximo","En plazo"))))</f>
        <v>En plazo</v>
      </c>
      <c r="P59" t="s">
        <v>62</v>
      </c>
      <c r="Q59" t="s">
        <v>63</v>
      </c>
    </row>
    <row r="60" spans="1:17">
      <c r="A60" t="s">
        <v>122</v>
      </c>
      <c r="B60" t="s">
        <v>31</v>
      </c>
      <c r="C60" t="s">
        <v>60</v>
      </c>
      <c r="D60" t="s">
        <v>71</v>
      </c>
      <c r="F60" s="5">
        <v>30</v>
      </c>
      <c r="G60" s="5">
        <v>30</v>
      </c>
      <c r="H60" s="1">
        <f>IF(F60="","",DATE(CONFIGURACION!$B$4,CONFIGURACION!$B$5,MIN(F60,DAY(CONFIGURACION!$B$7))))</f>
        <v>46325</v>
      </c>
      <c r="I60" s="1">
        <f>IF(G60="","",DATE(CONFIGURACION!$B$4,CONFIGURACION!$B$5,MIN(G60,DAY(CONFIGURACION!$B$7))))</f>
        <v>46325</v>
      </c>
      <c r="J60" s="1"/>
      <c r="K60" t="s">
        <v>50</v>
      </c>
      <c r="L60" t="s">
        <v>51</v>
      </c>
      <c r="M60" s="4">
        <v>0</v>
      </c>
      <c r="N60">
        <f ca="1">IF(I60="","",I60-CONFIGURACION!$B$8)</f>
        <v>16</v>
      </c>
      <c r="O60" t="str">
        <f ca="1">IF(I60="","Sin fecha",IF(K60="Cerrado","Completado",IF(I60&lt;CONFIGURACION!$B$8,"Vencido",IF(I60-CONFIGURACION!$B$8&lt;=3,"Próximo","En plazo"))))</f>
        <v>En plazo</v>
      </c>
      <c r="P60" t="s">
        <v>62</v>
      </c>
      <c r="Q60" t="s">
        <v>63</v>
      </c>
    </row>
    <row r="61" spans="1:17">
      <c r="A61" t="s">
        <v>123</v>
      </c>
      <c r="C61" t="s">
        <v>124</v>
      </c>
      <c r="F61" s="5"/>
      <c r="G61" s="5"/>
      <c r="H61" s="1" t="str">
        <f>IF(F61="","",DATE(CONFIGURACION!$B$4,CONFIGURACION!$B$5,MIN(F61,DAY(CONFIGURACION!$B$7))))</f>
        <v/>
      </c>
      <c r="I61" s="1" t="str">
        <f>IF(G61="","",DATE(CONFIGURACION!$B$4,CONFIGURACION!$B$5,MIN(G61,DAY(CONFIGURACION!$B$7))))</f>
        <v/>
      </c>
      <c r="J61" s="1"/>
      <c r="K61" t="s">
        <v>50</v>
      </c>
      <c r="L61" t="s">
        <v>125</v>
      </c>
      <c r="M61" s="4">
        <v>0</v>
      </c>
      <c r="N61" t="str">
        <f>IF(I61="","",I61-CONFIGURACION!$B$8)</f>
        <v/>
      </c>
      <c r="O61" t="str">
        <f>IF(I61="","Sin fecha",IF(K61="Cerrado","Completado",IF(I61&lt;CONFIGURACION!$B$8,"Vencido",IF(I61-CONFIGURACION!$B$8&lt;=3,"Próximo","En plazo"))))</f>
        <v>Sin fecha</v>
      </c>
      <c r="P61" t="s">
        <v>126</v>
      </c>
    </row>
    <row r="62" spans="1:17">
      <c r="A62" t="s">
        <v>127</v>
      </c>
      <c r="C62" t="s">
        <v>128</v>
      </c>
      <c r="F62" s="5"/>
      <c r="G62" s="5"/>
      <c r="H62" s="1" t="str">
        <f>IF(F62="","",DATE(CONFIGURACION!$B$4,CONFIGURACION!$B$5,MIN(F62,DAY(CONFIGURACION!$B$7))))</f>
        <v/>
      </c>
      <c r="I62" s="1" t="str">
        <f>IF(G62="","",DATE(CONFIGURACION!$B$4,CONFIGURACION!$B$5,MIN(G62,DAY(CONFIGURACION!$B$7))))</f>
        <v/>
      </c>
      <c r="J62" s="1"/>
      <c r="K62" t="s">
        <v>50</v>
      </c>
      <c r="L62" t="s">
        <v>125</v>
      </c>
      <c r="M62" s="4">
        <v>0</v>
      </c>
      <c r="N62" t="str">
        <f>IF(I62="","",I62-CONFIGURACION!$B$8)</f>
        <v/>
      </c>
      <c r="O62" t="str">
        <f>IF(I62="","Sin fecha",IF(K62="Cerrado","Completado",IF(I62&lt;CONFIGURACION!$B$8,"Vencido",IF(I62-CONFIGURACION!$B$8&lt;=3,"Próximo","En plazo"))))</f>
        <v>Sin fecha</v>
      </c>
      <c r="P62" t="s">
        <v>126</v>
      </c>
    </row>
    <row r="63" spans="1:17">
      <c r="A63" t="s">
        <v>129</v>
      </c>
      <c r="C63" t="s">
        <v>124</v>
      </c>
      <c r="F63" s="5"/>
      <c r="G63" s="5"/>
      <c r="H63" s="1" t="str">
        <f>IF(F63="","",DATE(CONFIGURACION!$B$4,CONFIGURACION!$B$5,MIN(F63,DAY(CONFIGURACION!$B$7))))</f>
        <v/>
      </c>
      <c r="I63" s="1" t="str">
        <f>IF(G63="","",DATE(CONFIGURACION!$B$4,CONFIGURACION!$B$5,MIN(G63,DAY(CONFIGURACION!$B$7))))</f>
        <v/>
      </c>
      <c r="J63" s="1"/>
      <c r="K63" t="s">
        <v>50</v>
      </c>
      <c r="L63" t="s">
        <v>125</v>
      </c>
      <c r="M63" s="4">
        <v>0</v>
      </c>
      <c r="N63" t="str">
        <f>IF(I63="","",I63-CONFIGURACION!$B$8)</f>
        <v/>
      </c>
      <c r="O63" t="str">
        <f>IF(I63="","Sin fecha",IF(K63="Cerrado","Completado",IF(I63&lt;CONFIGURACION!$B$8,"Vencido",IF(I63-CONFIGURACION!$B$8&lt;=3,"Próximo","En plazo"))))</f>
        <v>Sin fecha</v>
      </c>
      <c r="P63" t="s">
        <v>126</v>
      </c>
    </row>
    <row r="64" spans="1:17">
      <c r="A64" t="s">
        <v>130</v>
      </c>
      <c r="C64" t="s">
        <v>128</v>
      </c>
      <c r="F64" s="5"/>
      <c r="G64" s="5"/>
      <c r="H64" s="1" t="str">
        <f>IF(F64="","",DATE(CONFIGURACION!$B$4,CONFIGURACION!$B$5,MIN(F64,DAY(CONFIGURACION!$B$7))))</f>
        <v/>
      </c>
      <c r="I64" s="1" t="str">
        <f>IF(G64="","",DATE(CONFIGURACION!$B$4,CONFIGURACION!$B$5,MIN(G64,DAY(CONFIGURACION!$B$7))))</f>
        <v/>
      </c>
      <c r="J64" s="1"/>
      <c r="K64" t="s">
        <v>50</v>
      </c>
      <c r="L64" t="s">
        <v>125</v>
      </c>
      <c r="M64" s="4">
        <v>0</v>
      </c>
      <c r="N64" t="str">
        <f>IF(I64="","",I64-CONFIGURACION!$B$8)</f>
        <v/>
      </c>
      <c r="O64" t="str">
        <f>IF(I64="","Sin fecha",IF(K64="Cerrado","Completado",IF(I64&lt;CONFIGURACION!$B$8,"Vencido",IF(I64-CONFIGURACION!$B$8&lt;=3,"Próximo","En plazo"))))</f>
        <v>Sin fecha</v>
      </c>
      <c r="P64" t="s">
        <v>126</v>
      </c>
    </row>
    <row r="65" spans="1:16">
      <c r="A65" t="s">
        <v>131</v>
      </c>
      <c r="C65" t="s">
        <v>124</v>
      </c>
      <c r="F65" s="5"/>
      <c r="G65" s="5"/>
      <c r="H65" s="1" t="str">
        <f>IF(F65="","",DATE(CONFIGURACION!$B$4,CONFIGURACION!$B$5,MIN(F65,DAY(CONFIGURACION!$B$7))))</f>
        <v/>
      </c>
      <c r="I65" s="1" t="str">
        <f>IF(G65="","",DATE(CONFIGURACION!$B$4,CONFIGURACION!$B$5,MIN(G65,DAY(CONFIGURACION!$B$7))))</f>
        <v/>
      </c>
      <c r="J65" s="1"/>
      <c r="K65" t="s">
        <v>50</v>
      </c>
      <c r="L65" t="s">
        <v>125</v>
      </c>
      <c r="M65" s="4">
        <v>0</v>
      </c>
      <c r="N65" t="str">
        <f>IF(I65="","",I65-CONFIGURACION!$B$8)</f>
        <v/>
      </c>
      <c r="O65" t="str">
        <f>IF(I65="","Sin fecha",IF(K65="Cerrado","Completado",IF(I65&lt;CONFIGURACION!$B$8,"Vencido",IF(I65-CONFIGURACION!$B$8&lt;=3,"Próximo","En plazo"))))</f>
        <v>Sin fecha</v>
      </c>
      <c r="P65" t="s">
        <v>126</v>
      </c>
    </row>
    <row r="66" spans="1:16">
      <c r="A66" t="s">
        <v>132</v>
      </c>
      <c r="C66" t="s">
        <v>128</v>
      </c>
      <c r="F66" s="5"/>
      <c r="G66" s="5"/>
      <c r="H66" s="1" t="str">
        <f>IF(F66="","",DATE(CONFIGURACION!$B$4,CONFIGURACION!$B$5,MIN(F66,DAY(CONFIGURACION!$B$7))))</f>
        <v/>
      </c>
      <c r="I66" s="1" t="str">
        <f>IF(G66="","",DATE(CONFIGURACION!$B$4,CONFIGURACION!$B$5,MIN(G66,DAY(CONFIGURACION!$B$7))))</f>
        <v/>
      </c>
      <c r="J66" s="1"/>
      <c r="K66" t="s">
        <v>50</v>
      </c>
      <c r="L66" t="s">
        <v>125</v>
      </c>
      <c r="M66" s="4">
        <v>0</v>
      </c>
      <c r="N66" t="str">
        <f>IF(I66="","",I66-CONFIGURACION!$B$8)</f>
        <v/>
      </c>
      <c r="O66" t="str">
        <f>IF(I66="","Sin fecha",IF(K66="Cerrado","Completado",IF(I66&lt;CONFIGURACION!$B$8,"Vencido",IF(I66-CONFIGURACION!$B$8&lt;=3,"Próximo","En plazo"))))</f>
        <v>Sin fecha</v>
      </c>
      <c r="P66" t="s">
        <v>126</v>
      </c>
    </row>
    <row r="67" spans="1:16">
      <c r="A67" t="s">
        <v>133</v>
      </c>
      <c r="C67" t="s">
        <v>124</v>
      </c>
      <c r="F67" s="5"/>
      <c r="G67" s="5"/>
      <c r="H67" s="1" t="str">
        <f>IF(F67="","",DATE(CONFIGURACION!$B$4,CONFIGURACION!$B$5,MIN(F67,DAY(CONFIGURACION!$B$7))))</f>
        <v/>
      </c>
      <c r="I67" s="1" t="str">
        <f>IF(G67="","",DATE(CONFIGURACION!$B$4,CONFIGURACION!$B$5,MIN(G67,DAY(CONFIGURACION!$B$7))))</f>
        <v/>
      </c>
      <c r="J67" s="1"/>
      <c r="K67" t="s">
        <v>50</v>
      </c>
      <c r="L67" t="s">
        <v>125</v>
      </c>
      <c r="M67" s="4">
        <v>0</v>
      </c>
      <c r="N67" t="str">
        <f>IF(I67="","",I67-CONFIGURACION!$B$8)</f>
        <v/>
      </c>
      <c r="O67" t="str">
        <f>IF(I67="","Sin fecha",IF(K67="Cerrado","Completado",IF(I67&lt;CONFIGURACION!$B$8,"Vencido",IF(I67-CONFIGURACION!$B$8&lt;=3,"Próximo","En plazo"))))</f>
        <v>Sin fecha</v>
      </c>
      <c r="P67" t="s">
        <v>126</v>
      </c>
    </row>
    <row r="68" spans="1:16">
      <c r="A68" t="s">
        <v>134</v>
      </c>
      <c r="C68" t="s">
        <v>128</v>
      </c>
      <c r="F68" s="5"/>
      <c r="G68" s="5"/>
      <c r="H68" s="1" t="str">
        <f>IF(F68="","",DATE(CONFIGURACION!$B$4,CONFIGURACION!$B$5,MIN(F68,DAY(CONFIGURACION!$B$7))))</f>
        <v/>
      </c>
      <c r="I68" s="1" t="str">
        <f>IF(G68="","",DATE(CONFIGURACION!$B$4,CONFIGURACION!$B$5,MIN(G68,DAY(CONFIGURACION!$B$7))))</f>
        <v/>
      </c>
      <c r="J68" s="1"/>
      <c r="K68" t="s">
        <v>50</v>
      </c>
      <c r="L68" t="s">
        <v>125</v>
      </c>
      <c r="M68" s="4">
        <v>0</v>
      </c>
      <c r="N68" t="str">
        <f>IF(I68="","",I68-CONFIGURACION!$B$8)</f>
        <v/>
      </c>
      <c r="O68" t="str">
        <f>IF(I68="","Sin fecha",IF(K68="Cerrado","Completado",IF(I68&lt;CONFIGURACION!$B$8,"Vencido",IF(I68-CONFIGURACION!$B$8&lt;=3,"Próximo","En plazo"))))</f>
        <v>Sin fecha</v>
      </c>
      <c r="P68" t="s">
        <v>126</v>
      </c>
    </row>
    <row r="69" spans="1:16">
      <c r="A69" t="s">
        <v>135</v>
      </c>
      <c r="C69" t="s">
        <v>124</v>
      </c>
      <c r="F69" s="5"/>
      <c r="G69" s="5"/>
      <c r="H69" s="1" t="str">
        <f>IF(F69="","",DATE(CONFIGURACION!$B$4,CONFIGURACION!$B$5,MIN(F69,DAY(CONFIGURACION!$B$7))))</f>
        <v/>
      </c>
      <c r="I69" s="1" t="str">
        <f>IF(G69="","",DATE(CONFIGURACION!$B$4,CONFIGURACION!$B$5,MIN(G69,DAY(CONFIGURACION!$B$7))))</f>
        <v/>
      </c>
      <c r="J69" s="1"/>
      <c r="K69" t="s">
        <v>50</v>
      </c>
      <c r="L69" t="s">
        <v>125</v>
      </c>
      <c r="M69" s="4">
        <v>0</v>
      </c>
      <c r="N69" t="str">
        <f>IF(I69="","",I69-CONFIGURACION!$B$8)</f>
        <v/>
      </c>
      <c r="O69" t="str">
        <f>IF(I69="","Sin fecha",IF(K69="Cerrado","Completado",IF(I69&lt;CONFIGURACION!$B$8,"Vencido",IF(I69-CONFIGURACION!$B$8&lt;=3,"Próximo","En plazo"))))</f>
        <v>Sin fecha</v>
      </c>
      <c r="P69" t="s">
        <v>126</v>
      </c>
    </row>
    <row r="70" spans="1:16">
      <c r="A70" t="s">
        <v>136</v>
      </c>
      <c r="C70" t="s">
        <v>128</v>
      </c>
      <c r="F70" s="5"/>
      <c r="G70" s="5"/>
      <c r="H70" s="1" t="str">
        <f>IF(F70="","",DATE(CONFIGURACION!$B$4,CONFIGURACION!$B$5,MIN(F70,DAY(CONFIGURACION!$B$7))))</f>
        <v/>
      </c>
      <c r="I70" s="1" t="str">
        <f>IF(G70="","",DATE(CONFIGURACION!$B$4,CONFIGURACION!$B$5,MIN(G70,DAY(CONFIGURACION!$B$7))))</f>
        <v/>
      </c>
      <c r="J70" s="1"/>
      <c r="K70" t="s">
        <v>50</v>
      </c>
      <c r="L70" t="s">
        <v>125</v>
      </c>
      <c r="M70" s="4">
        <v>0</v>
      </c>
      <c r="N70" t="str">
        <f>IF(I70="","",I70-CONFIGURACION!$B$8)</f>
        <v/>
      </c>
      <c r="O70" t="str">
        <f>IF(I70="","Sin fecha",IF(K70="Cerrado","Completado",IF(I70&lt;CONFIGURACION!$B$8,"Vencido",IF(I70-CONFIGURACION!$B$8&lt;=3,"Próximo","En plazo"))))</f>
        <v>Sin fecha</v>
      </c>
      <c r="P70" t="s">
        <v>126</v>
      </c>
    </row>
    <row r="71" spans="1:16">
      <c r="A71" t="s">
        <v>137</v>
      </c>
      <c r="C71" t="s">
        <v>124</v>
      </c>
      <c r="F71" s="5"/>
      <c r="G71" s="5"/>
      <c r="H71" s="1" t="str">
        <f>IF(F71="","",DATE(CONFIGURACION!$B$4,CONFIGURACION!$B$5,MIN(F71,DAY(CONFIGURACION!$B$7))))</f>
        <v/>
      </c>
      <c r="I71" s="1" t="str">
        <f>IF(G71="","",DATE(CONFIGURACION!$B$4,CONFIGURACION!$B$5,MIN(G71,DAY(CONFIGURACION!$B$7))))</f>
        <v/>
      </c>
      <c r="J71" s="1"/>
      <c r="K71" t="s">
        <v>50</v>
      </c>
      <c r="L71" t="s">
        <v>125</v>
      </c>
      <c r="M71" s="4">
        <v>0</v>
      </c>
      <c r="N71" t="str">
        <f>IF(I71="","",I71-CONFIGURACION!$B$8)</f>
        <v/>
      </c>
      <c r="O71" t="str">
        <f>IF(I71="","Sin fecha",IF(K71="Cerrado","Completado",IF(I71&lt;CONFIGURACION!$B$8,"Vencido",IF(I71-CONFIGURACION!$B$8&lt;=3,"Próximo","En plazo"))))</f>
        <v>Sin fecha</v>
      </c>
      <c r="P71" t="s">
        <v>126</v>
      </c>
    </row>
    <row r="72" spans="1:16">
      <c r="A72" t="s">
        <v>138</v>
      </c>
      <c r="C72" t="s">
        <v>128</v>
      </c>
      <c r="F72" s="5"/>
      <c r="G72" s="5"/>
      <c r="H72" s="1" t="str">
        <f>IF(F72="","",DATE(CONFIGURACION!$B$4,CONFIGURACION!$B$5,MIN(F72,DAY(CONFIGURACION!$B$7))))</f>
        <v/>
      </c>
      <c r="I72" s="1" t="str">
        <f>IF(G72="","",DATE(CONFIGURACION!$B$4,CONFIGURACION!$B$5,MIN(G72,DAY(CONFIGURACION!$B$7))))</f>
        <v/>
      </c>
      <c r="J72" s="1"/>
      <c r="K72" t="s">
        <v>50</v>
      </c>
      <c r="L72" t="s">
        <v>125</v>
      </c>
      <c r="M72" s="4">
        <v>0</v>
      </c>
      <c r="N72" t="str">
        <f>IF(I72="","",I72-CONFIGURACION!$B$8)</f>
        <v/>
      </c>
      <c r="O72" t="str">
        <f>IF(I72="","Sin fecha",IF(K72="Cerrado","Completado",IF(I72&lt;CONFIGURACION!$B$8,"Vencido",IF(I72-CONFIGURACION!$B$8&lt;=3,"Próximo","En plazo"))))</f>
        <v>Sin fecha</v>
      </c>
      <c r="P72" t="s">
        <v>126</v>
      </c>
    </row>
    <row r="73" spans="1:16">
      <c r="A73" t="s">
        <v>139</v>
      </c>
      <c r="C73" t="s">
        <v>124</v>
      </c>
      <c r="F73" s="5"/>
      <c r="G73" s="5"/>
      <c r="H73" s="1" t="str">
        <f>IF(F73="","",DATE(CONFIGURACION!$B$4,CONFIGURACION!$B$5,MIN(F73,DAY(CONFIGURACION!$B$7))))</f>
        <v/>
      </c>
      <c r="I73" s="1" t="str">
        <f>IF(G73="","",DATE(CONFIGURACION!$B$4,CONFIGURACION!$B$5,MIN(G73,DAY(CONFIGURACION!$B$7))))</f>
        <v/>
      </c>
      <c r="J73" s="1"/>
      <c r="K73" t="s">
        <v>50</v>
      </c>
      <c r="L73" t="s">
        <v>125</v>
      </c>
      <c r="M73" s="4">
        <v>0</v>
      </c>
      <c r="N73" t="str">
        <f>IF(I73="","",I73-CONFIGURACION!$B$8)</f>
        <v/>
      </c>
      <c r="O73" t="str">
        <f>IF(I73="","Sin fecha",IF(K73="Cerrado","Completado",IF(I73&lt;CONFIGURACION!$B$8,"Vencido",IF(I73-CONFIGURACION!$B$8&lt;=3,"Próximo","En plazo"))))</f>
        <v>Sin fecha</v>
      </c>
      <c r="P73" t="s">
        <v>126</v>
      </c>
    </row>
    <row r="74" spans="1:16">
      <c r="A74" t="s">
        <v>140</v>
      </c>
      <c r="C74" t="s">
        <v>128</v>
      </c>
      <c r="F74" s="5"/>
      <c r="G74" s="5"/>
      <c r="H74" s="1" t="str">
        <f>IF(F74="","",DATE(CONFIGURACION!$B$4,CONFIGURACION!$B$5,MIN(F74,DAY(CONFIGURACION!$B$7))))</f>
        <v/>
      </c>
      <c r="I74" s="1" t="str">
        <f>IF(G74="","",DATE(CONFIGURACION!$B$4,CONFIGURACION!$B$5,MIN(G74,DAY(CONFIGURACION!$B$7))))</f>
        <v/>
      </c>
      <c r="J74" s="1"/>
      <c r="K74" t="s">
        <v>50</v>
      </c>
      <c r="L74" t="s">
        <v>125</v>
      </c>
      <c r="M74" s="4">
        <v>0</v>
      </c>
      <c r="N74" t="str">
        <f>IF(I74="","",I74-CONFIGURACION!$B$8)</f>
        <v/>
      </c>
      <c r="O74" t="str">
        <f>IF(I74="","Sin fecha",IF(K74="Cerrado","Completado",IF(I74&lt;CONFIGURACION!$B$8,"Vencido",IF(I74-CONFIGURACION!$B$8&lt;=3,"Próximo","En plazo"))))</f>
        <v>Sin fecha</v>
      </c>
      <c r="P74" t="s">
        <v>126</v>
      </c>
    </row>
    <row r="75" spans="1:16">
      <c r="A75" t="s">
        <v>141</v>
      </c>
      <c r="C75" t="s">
        <v>124</v>
      </c>
      <c r="F75" s="5"/>
      <c r="G75" s="5"/>
      <c r="H75" s="1" t="str">
        <f>IF(F75="","",DATE(CONFIGURACION!$B$4,CONFIGURACION!$B$5,MIN(F75,DAY(CONFIGURACION!$B$7))))</f>
        <v/>
      </c>
      <c r="I75" s="1" t="str">
        <f>IF(G75="","",DATE(CONFIGURACION!$B$4,CONFIGURACION!$B$5,MIN(G75,DAY(CONFIGURACION!$B$7))))</f>
        <v/>
      </c>
      <c r="J75" s="1"/>
      <c r="K75" t="s">
        <v>50</v>
      </c>
      <c r="L75" t="s">
        <v>125</v>
      </c>
      <c r="M75" s="4">
        <v>0</v>
      </c>
      <c r="N75" t="str">
        <f>IF(I75="","",I75-CONFIGURACION!$B$8)</f>
        <v/>
      </c>
      <c r="O75" t="str">
        <f>IF(I75="","Sin fecha",IF(K75="Cerrado","Completado",IF(I75&lt;CONFIGURACION!$B$8,"Vencido",IF(I75-CONFIGURACION!$B$8&lt;=3,"Próximo","En plazo"))))</f>
        <v>Sin fecha</v>
      </c>
      <c r="P75" t="s">
        <v>126</v>
      </c>
    </row>
    <row r="76" spans="1:16">
      <c r="A76" t="s">
        <v>142</v>
      </c>
      <c r="C76" t="s">
        <v>128</v>
      </c>
      <c r="F76" s="5"/>
      <c r="G76" s="5"/>
      <c r="H76" s="1" t="str">
        <f>IF(F76="","",DATE(CONFIGURACION!$B$4,CONFIGURACION!$B$5,MIN(F76,DAY(CONFIGURACION!$B$7))))</f>
        <v/>
      </c>
      <c r="I76" s="1" t="str">
        <f>IF(G76="","",DATE(CONFIGURACION!$B$4,CONFIGURACION!$B$5,MIN(G76,DAY(CONFIGURACION!$B$7))))</f>
        <v/>
      </c>
      <c r="J76" s="1"/>
      <c r="K76" t="s">
        <v>50</v>
      </c>
      <c r="L76" t="s">
        <v>125</v>
      </c>
      <c r="M76" s="4">
        <v>0</v>
      </c>
      <c r="N76" t="str">
        <f>IF(I76="","",I76-CONFIGURACION!$B$8)</f>
        <v/>
      </c>
      <c r="O76" t="str">
        <f>IF(I76="","Sin fecha",IF(K76="Cerrado","Completado",IF(I76&lt;CONFIGURACION!$B$8,"Vencido",IF(I76-CONFIGURACION!$B$8&lt;=3,"Próximo","En plazo"))))</f>
        <v>Sin fecha</v>
      </c>
      <c r="P76" t="s">
        <v>126</v>
      </c>
    </row>
    <row r="77" spans="1:16">
      <c r="A77" t="s">
        <v>143</v>
      </c>
      <c r="C77" t="s">
        <v>124</v>
      </c>
      <c r="F77" s="5"/>
      <c r="G77" s="5"/>
      <c r="H77" s="1" t="str">
        <f>IF(F77="","",DATE(CONFIGURACION!$B$4,CONFIGURACION!$B$5,MIN(F77,DAY(CONFIGURACION!$B$7))))</f>
        <v/>
      </c>
      <c r="I77" s="1" t="str">
        <f>IF(G77="","",DATE(CONFIGURACION!$B$4,CONFIGURACION!$B$5,MIN(G77,DAY(CONFIGURACION!$B$7))))</f>
        <v/>
      </c>
      <c r="J77" s="1"/>
      <c r="K77" t="s">
        <v>50</v>
      </c>
      <c r="L77" t="s">
        <v>125</v>
      </c>
      <c r="M77" s="4">
        <v>0</v>
      </c>
      <c r="N77" t="str">
        <f>IF(I77="","",I77-CONFIGURACION!$B$8)</f>
        <v/>
      </c>
      <c r="O77" t="str">
        <f>IF(I77="","Sin fecha",IF(K77="Cerrado","Completado",IF(I77&lt;CONFIGURACION!$B$8,"Vencido",IF(I77-CONFIGURACION!$B$8&lt;=3,"Próximo","En plazo"))))</f>
        <v>Sin fecha</v>
      </c>
      <c r="P77" t="s">
        <v>126</v>
      </c>
    </row>
    <row r="78" spans="1:16">
      <c r="A78" t="s">
        <v>144</v>
      </c>
      <c r="C78" t="s">
        <v>128</v>
      </c>
      <c r="F78" s="5"/>
      <c r="G78" s="5"/>
      <c r="H78" s="1" t="str">
        <f>IF(F78="","",DATE(CONFIGURACION!$B$4,CONFIGURACION!$B$5,MIN(F78,DAY(CONFIGURACION!$B$7))))</f>
        <v/>
      </c>
      <c r="I78" s="1" t="str">
        <f>IF(G78="","",DATE(CONFIGURACION!$B$4,CONFIGURACION!$B$5,MIN(G78,DAY(CONFIGURACION!$B$7))))</f>
        <v/>
      </c>
      <c r="J78" s="1"/>
      <c r="K78" t="s">
        <v>50</v>
      </c>
      <c r="L78" t="s">
        <v>125</v>
      </c>
      <c r="M78" s="4">
        <v>0</v>
      </c>
      <c r="N78" t="str">
        <f>IF(I78="","",I78-CONFIGURACION!$B$8)</f>
        <v/>
      </c>
      <c r="O78" t="str">
        <f>IF(I78="","Sin fecha",IF(K78="Cerrado","Completado",IF(I78&lt;CONFIGURACION!$B$8,"Vencido",IF(I78-CONFIGURACION!$B$8&lt;=3,"Próximo","En plazo"))))</f>
        <v>Sin fecha</v>
      </c>
      <c r="P78" t="s">
        <v>126</v>
      </c>
    </row>
    <row r="79" spans="1:16">
      <c r="A79" t="s">
        <v>145</v>
      </c>
      <c r="C79" t="s">
        <v>124</v>
      </c>
      <c r="F79" s="5"/>
      <c r="G79" s="5"/>
      <c r="H79" s="1" t="str">
        <f>IF(F79="","",DATE(CONFIGURACION!$B$4,CONFIGURACION!$B$5,MIN(F79,DAY(CONFIGURACION!$B$7))))</f>
        <v/>
      </c>
      <c r="I79" s="1" t="str">
        <f>IF(G79="","",DATE(CONFIGURACION!$B$4,CONFIGURACION!$B$5,MIN(G79,DAY(CONFIGURACION!$B$7))))</f>
        <v/>
      </c>
      <c r="J79" s="1"/>
      <c r="K79" t="s">
        <v>50</v>
      </c>
      <c r="L79" t="s">
        <v>125</v>
      </c>
      <c r="M79" s="4">
        <v>0</v>
      </c>
      <c r="N79" t="str">
        <f>IF(I79="","",I79-CONFIGURACION!$B$8)</f>
        <v/>
      </c>
      <c r="O79" t="str">
        <f>IF(I79="","Sin fecha",IF(K79="Cerrado","Completado",IF(I79&lt;CONFIGURACION!$B$8,"Vencido",IF(I79-CONFIGURACION!$B$8&lt;=3,"Próximo","En plazo"))))</f>
        <v>Sin fecha</v>
      </c>
      <c r="P79" t="s">
        <v>126</v>
      </c>
    </row>
    <row r="80" spans="1:16">
      <c r="A80" t="s">
        <v>146</v>
      </c>
      <c r="C80" t="s">
        <v>128</v>
      </c>
      <c r="F80" s="5"/>
      <c r="G80" s="5"/>
      <c r="H80" s="1" t="str">
        <f>IF(F80="","",DATE(CONFIGURACION!$B$4,CONFIGURACION!$B$5,MIN(F80,DAY(CONFIGURACION!$B$7))))</f>
        <v/>
      </c>
      <c r="I80" s="1" t="str">
        <f>IF(G80="","",DATE(CONFIGURACION!$B$4,CONFIGURACION!$B$5,MIN(G80,DAY(CONFIGURACION!$B$7))))</f>
        <v/>
      </c>
      <c r="J80" s="1"/>
      <c r="K80" t="s">
        <v>50</v>
      </c>
      <c r="L80" t="s">
        <v>125</v>
      </c>
      <c r="M80" s="4">
        <v>0</v>
      </c>
      <c r="N80" t="str">
        <f>IF(I80="","",I80-CONFIGURACION!$B$8)</f>
        <v/>
      </c>
      <c r="O80" t="str">
        <f>IF(I80="","Sin fecha",IF(K80="Cerrado","Completado",IF(I80&lt;CONFIGURACION!$B$8,"Vencido",IF(I80-CONFIGURACION!$B$8&lt;=3,"Próximo","En plazo"))))</f>
        <v>Sin fecha</v>
      </c>
      <c r="P80" t="s">
        <v>126</v>
      </c>
    </row>
    <row r="81" spans="1:16">
      <c r="A81" t="s">
        <v>147</v>
      </c>
      <c r="C81" t="s">
        <v>124</v>
      </c>
      <c r="F81" s="5"/>
      <c r="G81" s="5"/>
      <c r="H81" s="1" t="str">
        <f>IF(F81="","",DATE(CONFIGURACION!$B$4,CONFIGURACION!$B$5,MIN(F81,DAY(CONFIGURACION!$B$7))))</f>
        <v/>
      </c>
      <c r="I81" s="1" t="str">
        <f>IF(G81="","",DATE(CONFIGURACION!$B$4,CONFIGURACION!$B$5,MIN(G81,DAY(CONFIGURACION!$B$7))))</f>
        <v/>
      </c>
      <c r="J81" s="1"/>
      <c r="K81" t="s">
        <v>50</v>
      </c>
      <c r="L81" t="s">
        <v>125</v>
      </c>
      <c r="M81" s="4">
        <v>0</v>
      </c>
      <c r="N81" t="str">
        <f>IF(I81="","",I81-CONFIGURACION!$B$8)</f>
        <v/>
      </c>
      <c r="O81" t="str">
        <f>IF(I81="","Sin fecha",IF(K81="Cerrado","Completado",IF(I81&lt;CONFIGURACION!$B$8,"Vencido",IF(I81-CONFIGURACION!$B$8&lt;=3,"Próximo","En plazo"))))</f>
        <v>Sin fecha</v>
      </c>
      <c r="P81" t="s">
        <v>126</v>
      </c>
    </row>
    <row r="82" spans="1:16">
      <c r="A82" t="s">
        <v>148</v>
      </c>
      <c r="C82" t="s">
        <v>128</v>
      </c>
      <c r="F82" s="5"/>
      <c r="G82" s="5"/>
      <c r="H82" s="1" t="str">
        <f>IF(F82="","",DATE(CONFIGURACION!$B$4,CONFIGURACION!$B$5,MIN(F82,DAY(CONFIGURACION!$B$7))))</f>
        <v/>
      </c>
      <c r="I82" s="1" t="str">
        <f>IF(G82="","",DATE(CONFIGURACION!$B$4,CONFIGURACION!$B$5,MIN(G82,DAY(CONFIGURACION!$B$7))))</f>
        <v/>
      </c>
      <c r="J82" s="1"/>
      <c r="K82" t="s">
        <v>50</v>
      </c>
      <c r="L82" t="s">
        <v>125</v>
      </c>
      <c r="M82" s="4">
        <v>0</v>
      </c>
      <c r="N82" t="str">
        <f>IF(I82="","",I82-CONFIGURACION!$B$8)</f>
        <v/>
      </c>
      <c r="O82" t="str">
        <f>IF(I82="","Sin fecha",IF(K82="Cerrado","Completado",IF(I82&lt;CONFIGURACION!$B$8,"Vencido",IF(I82-CONFIGURACION!$B$8&lt;=3,"Próximo","En plazo"))))</f>
        <v>Sin fecha</v>
      </c>
      <c r="P82" t="s">
        <v>126</v>
      </c>
    </row>
    <row r="83" spans="1:16">
      <c r="A83" t="s">
        <v>149</v>
      </c>
      <c r="C83" t="s">
        <v>124</v>
      </c>
      <c r="F83" s="5"/>
      <c r="G83" s="5"/>
      <c r="H83" s="1" t="str">
        <f>IF(F83="","",DATE(CONFIGURACION!$B$4,CONFIGURACION!$B$5,MIN(F83,DAY(CONFIGURACION!$B$7))))</f>
        <v/>
      </c>
      <c r="I83" s="1" t="str">
        <f>IF(G83="","",DATE(CONFIGURACION!$B$4,CONFIGURACION!$B$5,MIN(G83,DAY(CONFIGURACION!$B$7))))</f>
        <v/>
      </c>
      <c r="J83" s="1"/>
      <c r="K83" t="s">
        <v>50</v>
      </c>
      <c r="L83" t="s">
        <v>125</v>
      </c>
      <c r="M83" s="4">
        <v>0</v>
      </c>
      <c r="N83" t="str">
        <f>IF(I83="","",I83-CONFIGURACION!$B$8)</f>
        <v/>
      </c>
      <c r="O83" t="str">
        <f>IF(I83="","Sin fecha",IF(K83="Cerrado","Completado",IF(I83&lt;CONFIGURACION!$B$8,"Vencido",IF(I83-CONFIGURACION!$B$8&lt;=3,"Próximo","En plazo"))))</f>
        <v>Sin fecha</v>
      </c>
      <c r="P83" t="s">
        <v>126</v>
      </c>
    </row>
    <row r="84" spans="1:16">
      <c r="A84" t="s">
        <v>150</v>
      </c>
      <c r="C84" t="s">
        <v>128</v>
      </c>
      <c r="F84" s="5"/>
      <c r="G84" s="5"/>
      <c r="H84" s="1" t="str">
        <f>IF(F84="","",DATE(CONFIGURACION!$B$4,CONFIGURACION!$B$5,MIN(F84,DAY(CONFIGURACION!$B$7))))</f>
        <v/>
      </c>
      <c r="I84" s="1" t="str">
        <f>IF(G84="","",DATE(CONFIGURACION!$B$4,CONFIGURACION!$B$5,MIN(G84,DAY(CONFIGURACION!$B$7))))</f>
        <v/>
      </c>
      <c r="J84" s="1"/>
      <c r="K84" t="s">
        <v>50</v>
      </c>
      <c r="L84" t="s">
        <v>125</v>
      </c>
      <c r="M84" s="4">
        <v>0</v>
      </c>
      <c r="N84" t="str">
        <f>IF(I84="","",I84-CONFIGURACION!$B$8)</f>
        <v/>
      </c>
      <c r="O84" t="str">
        <f>IF(I84="","Sin fecha",IF(K84="Cerrado","Completado",IF(I84&lt;CONFIGURACION!$B$8,"Vencido",IF(I84-CONFIGURACION!$B$8&lt;=3,"Próximo","En plazo"))))</f>
        <v>Sin fecha</v>
      </c>
      <c r="P84" t="s">
        <v>126</v>
      </c>
    </row>
  </sheetData>
  <autoFilter ref="A4:Q84" xr:uid="{00000000-0001-0000-0200-000000000000}"/>
  <mergeCells count="1">
    <mergeCell ref="A1:Q2"/>
  </mergeCells>
  <conditionalFormatting sqref="O5:O84">
    <cfRule type="expression" dxfId="1" priority="1">
      <formula>O5="Vencido"</formula>
    </cfRule>
    <cfRule type="expression" dxfId="0" priority="2">
      <formula>O5="Próximo"</formula>
    </cfRule>
  </conditionalFormatting>
  <dataValidations count="3">
    <dataValidation type="list" sqref="K5:K84" xr:uid="{00000000-0002-0000-0200-000000000000}">
      <formula1>"Pendiente,En proceso,Cerrado,Suspendido"</formula1>
    </dataValidation>
    <dataValidation type="list" sqref="L5:L84" xr:uid="{00000000-0002-0000-0200-000001000000}">
      <formula1>"Alta,Media,Baja"</formula1>
    </dataValidation>
    <dataValidation type="list" sqref="C5:C84" xr:uid="{00000000-0002-0000-0200-000002000000}">
      <formula1>"Informe,Abastecimiento,Corte,Extraordinaria,No planificada"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tabSelected="1" workbookViewId="0">
      <pane ySplit="4" topLeftCell="A5" activePane="bottomLeft" state="frozen"/>
      <selection pane="bottomLeft" activeCell="D23" sqref="D23"/>
    </sheetView>
  </sheetViews>
  <sheetFormatPr baseColWidth="10" defaultColWidth="8.796875" defaultRowHeight="13.8"/>
  <cols>
    <col min="1" max="1" width="14" customWidth="1"/>
    <col min="2" max="2" width="25" customWidth="1"/>
    <col min="3" max="3" width="20" customWidth="1"/>
    <col min="4" max="4" width="43" customWidth="1"/>
    <col min="5" max="5" width="20" customWidth="1"/>
    <col min="6" max="7" width="18" customWidth="1"/>
    <col min="8" max="8" width="19" customWidth="1"/>
    <col min="9" max="9" width="17" customWidth="1"/>
    <col min="10" max="10" width="14" customWidth="1"/>
    <col min="11" max="11" width="18" customWidth="1"/>
    <col min="12" max="12" width="45" customWidth="1"/>
  </cols>
  <sheetData>
    <row r="1" spans="1:12" ht="24" customHeight="1">
      <c r="A1" s="10" t="s">
        <v>151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4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30" customHeight="1">
      <c r="A4" s="3" t="s">
        <v>33</v>
      </c>
      <c r="B4" s="3" t="s">
        <v>14</v>
      </c>
      <c r="C4" s="3" t="s">
        <v>152</v>
      </c>
      <c r="D4" s="3" t="s">
        <v>153</v>
      </c>
      <c r="E4" s="3" t="s">
        <v>36</v>
      </c>
      <c r="F4" s="3" t="s">
        <v>154</v>
      </c>
      <c r="G4" s="3" t="s">
        <v>155</v>
      </c>
      <c r="H4" s="3" t="s">
        <v>156</v>
      </c>
      <c r="I4" s="3" t="s">
        <v>15</v>
      </c>
      <c r="J4" s="3" t="s">
        <v>157</v>
      </c>
      <c r="K4" s="3" t="s">
        <v>158</v>
      </c>
      <c r="L4" s="3" t="s">
        <v>159</v>
      </c>
    </row>
    <row r="5" spans="1:12">
      <c r="A5" t="str">
        <f>IF(ACTIVIDADES!A5="","",ACTIVIDADES!A5)</f>
        <v>01.01</v>
      </c>
      <c r="B5" t="str">
        <f>IF(ACTIVIDADES!B5="","",ACTIVIDADES!B5)</f>
        <v>CDJ GUAYAQUIL</v>
      </c>
      <c r="C5" t="str">
        <f>IF(ACTIVIDADES!C5="","",ACTIVIDADES!C5)</f>
        <v>Informe</v>
      </c>
      <c r="D5" t="str">
        <f>IF(ACTIVIDADES!D5="","",ACTIVIDADES!D5)</f>
        <v>Solicitar y entregar informe mensual</v>
      </c>
      <c r="E5" t="str">
        <f>IF(ACTIVIDADES!E5="","",ACTIVIDADES!E5)</f>
        <v>LUIS HARO</v>
      </c>
      <c r="F5" s="1">
        <f>IF(ACTIVIDADES!H5="","",ACTIVIDADES!H5)</f>
        <v>46302</v>
      </c>
      <c r="G5" s="1">
        <f>IF(ACTIVIDADES!I5="","",ACTIVIDADES!I5)</f>
        <v>46305</v>
      </c>
      <c r="H5">
        <f t="shared" ref="H5:H36" si="0">IF(OR(F5="",G5=""),"",G5-F5+1)</f>
        <v>4</v>
      </c>
      <c r="I5" t="str">
        <f>ACTIVIDADES!K5</f>
        <v>Pendiente</v>
      </c>
      <c r="J5" s="4">
        <f>ACTIVIDADES!M5</f>
        <v>0</v>
      </c>
      <c r="K5" t="str">
        <f ca="1">ACTIVIDADES!O5</f>
        <v>Vencido</v>
      </c>
      <c r="L5" t="str">
        <f>ACTIVIDADES!P5</f>
        <v>Fechas del cronograma de informes de agosto 2026</v>
      </c>
    </row>
    <row r="6" spans="1:12">
      <c r="A6" t="str">
        <f>IF(ACTIVIDADES!A6="","",ACTIVIDADES!A6)</f>
        <v>01.02</v>
      </c>
      <c r="B6" t="str">
        <f>IF(ACTIVIDADES!B6="","",ACTIVIDADES!B6)</f>
        <v>CDJ GUAYAQUIL</v>
      </c>
      <c r="C6" t="str">
        <f>IF(ACTIVIDADES!C6="","",ACTIVIDADES!C6)</f>
        <v>Abastecimiento</v>
      </c>
      <c r="D6" t="str">
        <f>IF(ACTIVIDADES!D6="","",ACTIVIDADES!D6)</f>
        <v>Solicitar requerimientos de insumos</v>
      </c>
      <c r="E6" t="str">
        <f>IF(ACTIVIDADES!E6="","",ACTIVIDADES!E6)</f>
        <v>EDDY VELEZ</v>
      </c>
      <c r="F6" s="1">
        <f>IF(ACTIVIDADES!H6="","",ACTIVIDADES!H6)</f>
        <v>46294</v>
      </c>
      <c r="G6" s="1">
        <f>IF(ACTIVIDADES!I6="","",ACTIVIDADES!I6)</f>
        <v>46298</v>
      </c>
      <c r="H6">
        <f t="shared" si="0"/>
        <v>5</v>
      </c>
      <c r="I6" t="str">
        <f>ACTIVIDADES!K6</f>
        <v>Cerrado</v>
      </c>
      <c r="J6" s="4">
        <f>ACTIVIDADES!M6</f>
        <v>1</v>
      </c>
      <c r="K6" t="str">
        <f>ACTIVIDADES!O6</f>
        <v>Completado</v>
      </c>
      <c r="L6" t="str">
        <f>ACTIVIDADES!P6</f>
        <v>Fechas del cronograma de abastecimiento de septiembre 2026</v>
      </c>
    </row>
    <row r="7" spans="1:12">
      <c r="A7" t="str">
        <f>IF(ACTIVIDADES!A7="","",ACTIVIDADES!A7)</f>
        <v>01.03</v>
      </c>
      <c r="B7" t="str">
        <f>IF(ACTIVIDADES!B7="","",ACTIVIDADES!B7)</f>
        <v>CDJ GUAYAQUIL</v>
      </c>
      <c r="C7" t="str">
        <f>IF(ACTIVIDADES!C7="","",ACTIVIDADES!C7)</f>
        <v>Corte</v>
      </c>
      <c r="D7" t="str">
        <f>IF(ACTIVIDADES!D7="","",ACTIVIDADES!D7)</f>
        <v>Preparar y entregar corte del día 5</v>
      </c>
      <c r="E7" t="str">
        <f>IF(ACTIVIDADES!E7="","",ACTIVIDADES!E7)</f>
        <v/>
      </c>
      <c r="F7" s="1">
        <f>IF(ACTIVIDADES!H7="","",ACTIVIDADES!H7)</f>
        <v>46300</v>
      </c>
      <c r="G7" s="1">
        <f>IF(ACTIVIDADES!I7="","",ACTIVIDADES!I7)</f>
        <v>46300</v>
      </c>
      <c r="H7">
        <f t="shared" si="0"/>
        <v>1</v>
      </c>
      <c r="I7" t="str">
        <f>ACTIVIDADES!K7</f>
        <v>Cerrado</v>
      </c>
      <c r="J7" s="4">
        <f>ACTIVIDADES!M7</f>
        <v>1</v>
      </c>
      <c r="K7" t="str">
        <f>ACTIVIDADES!O7</f>
        <v>Completado</v>
      </c>
      <c r="L7" t="str">
        <f>ACTIVIDADES!P7</f>
        <v>Corte fijo mensual; confirmar responsable</v>
      </c>
    </row>
    <row r="8" spans="1:12">
      <c r="A8" t="str">
        <f>IF(ACTIVIDADES!A8="","",ACTIVIDADES!A8)</f>
        <v>01.04</v>
      </c>
      <c r="B8" t="str">
        <f>IF(ACTIVIDADES!B8="","",ACTIVIDADES!B8)</f>
        <v>CDJ GUAYAQUIL</v>
      </c>
      <c r="C8" t="str">
        <f>IF(ACTIVIDADES!C8="","",ACTIVIDADES!C8)</f>
        <v>Corte</v>
      </c>
      <c r="D8" t="str">
        <f>IF(ACTIVIDADES!D8="","",ACTIVIDADES!D8)</f>
        <v>Preparar y entregar corte del día 10</v>
      </c>
      <c r="E8" t="str">
        <f>IF(ACTIVIDADES!E8="","",ACTIVIDADES!E8)</f>
        <v/>
      </c>
      <c r="F8" s="1">
        <f>IF(ACTIVIDADES!H8="","",ACTIVIDADES!H8)</f>
        <v>46305</v>
      </c>
      <c r="G8" s="1">
        <f>IF(ACTIVIDADES!I8="","",ACTIVIDADES!I8)</f>
        <v>46305</v>
      </c>
      <c r="H8">
        <f t="shared" si="0"/>
        <v>1</v>
      </c>
      <c r="I8" t="str">
        <f>ACTIVIDADES!K8</f>
        <v>Cerrado</v>
      </c>
      <c r="J8" s="4">
        <f>ACTIVIDADES!M8</f>
        <v>1</v>
      </c>
      <c r="K8" t="str">
        <f>ACTIVIDADES!O8</f>
        <v>Completado</v>
      </c>
      <c r="L8" t="str">
        <f>ACTIVIDADES!P8</f>
        <v>Corte fijo mensual; confirmar responsable</v>
      </c>
    </row>
    <row r="9" spans="1:12">
      <c r="A9" t="str">
        <f>IF(ACTIVIDADES!A9="","",ACTIVIDADES!A9)</f>
        <v>01.05</v>
      </c>
      <c r="B9" t="str">
        <f>IF(ACTIVIDADES!B9="","",ACTIVIDADES!B9)</f>
        <v>CDJ GUAYAQUIL</v>
      </c>
      <c r="C9" t="str">
        <f>IF(ACTIVIDADES!C9="","",ACTIVIDADES!C9)</f>
        <v>Corte</v>
      </c>
      <c r="D9" t="str">
        <f>IF(ACTIVIDADES!D9="","",ACTIVIDADES!D9)</f>
        <v>Preparar y entregar corte del día 20</v>
      </c>
      <c r="E9" t="str">
        <f>IF(ACTIVIDADES!E9="","",ACTIVIDADES!E9)</f>
        <v/>
      </c>
      <c r="F9" s="1">
        <f>IF(ACTIVIDADES!H9="","",ACTIVIDADES!H9)</f>
        <v>46315</v>
      </c>
      <c r="G9" s="1">
        <f>IF(ACTIVIDADES!I9="","",ACTIVIDADES!I9)</f>
        <v>46315</v>
      </c>
      <c r="H9">
        <f t="shared" si="0"/>
        <v>1</v>
      </c>
      <c r="I9" t="str">
        <f>ACTIVIDADES!K9</f>
        <v>Pendiente</v>
      </c>
      <c r="J9" s="4">
        <f>ACTIVIDADES!M9</f>
        <v>0</v>
      </c>
      <c r="K9" t="str">
        <f ca="1">ACTIVIDADES!O9</f>
        <v>En plazo</v>
      </c>
      <c r="L9" t="str">
        <f>ACTIVIDADES!P9</f>
        <v>Corte fijo mensual; confirmar responsable</v>
      </c>
    </row>
    <row r="10" spans="1:12">
      <c r="A10" t="str">
        <f>IF(ACTIVIDADES!A10="","",ACTIVIDADES!A10)</f>
        <v>01.06</v>
      </c>
      <c r="B10" t="str">
        <f>IF(ACTIVIDADES!B10="","",ACTIVIDADES!B10)</f>
        <v>CDJ GUAYAQUIL</v>
      </c>
      <c r="C10" t="str">
        <f>IF(ACTIVIDADES!C10="","",ACTIVIDADES!C10)</f>
        <v>Corte</v>
      </c>
      <c r="D10" t="str">
        <f>IF(ACTIVIDADES!D10="","",ACTIVIDADES!D10)</f>
        <v>Preparar y entregar corte del día 26</v>
      </c>
      <c r="E10" t="str">
        <f>IF(ACTIVIDADES!E10="","",ACTIVIDADES!E10)</f>
        <v/>
      </c>
      <c r="F10" s="1">
        <f>IF(ACTIVIDADES!H10="","",ACTIVIDADES!H10)</f>
        <v>46321</v>
      </c>
      <c r="G10" s="1">
        <f>IF(ACTIVIDADES!I10="","",ACTIVIDADES!I10)</f>
        <v>46321</v>
      </c>
      <c r="H10">
        <f t="shared" si="0"/>
        <v>1</v>
      </c>
      <c r="I10" t="str">
        <f>ACTIVIDADES!K10</f>
        <v>Pendiente</v>
      </c>
      <c r="J10" s="4">
        <f>ACTIVIDADES!M10</f>
        <v>0</v>
      </c>
      <c r="K10" t="str">
        <f ca="1">ACTIVIDADES!O10</f>
        <v>En plazo</v>
      </c>
      <c r="L10" t="str">
        <f>ACTIVIDADES!P10</f>
        <v>Corte fijo mensual; confirmar responsable</v>
      </c>
    </row>
    <row r="11" spans="1:12">
      <c r="A11" t="str">
        <f>IF(ACTIVIDADES!A11="","",ACTIVIDADES!A11)</f>
        <v>01.07</v>
      </c>
      <c r="B11" t="str">
        <f>IF(ACTIVIDADES!B11="","",ACTIVIDADES!B11)</f>
        <v>CDJ GUAYAQUIL</v>
      </c>
      <c r="C11" t="str">
        <f>IF(ACTIVIDADES!C11="","",ACTIVIDADES!C11)</f>
        <v>Corte</v>
      </c>
      <c r="D11" t="str">
        <f>IF(ACTIVIDADES!D11="","",ACTIVIDADES!D11)</f>
        <v>Preparar y entregar corte del día 30</v>
      </c>
      <c r="E11" t="str">
        <f>IF(ACTIVIDADES!E11="","",ACTIVIDADES!E11)</f>
        <v/>
      </c>
      <c r="F11" s="1">
        <f>IF(ACTIVIDADES!H11="","",ACTIVIDADES!H11)</f>
        <v>46325</v>
      </c>
      <c r="G11" s="1">
        <f>IF(ACTIVIDADES!I11="","",ACTIVIDADES!I11)</f>
        <v>46325</v>
      </c>
      <c r="H11">
        <f t="shared" si="0"/>
        <v>1</v>
      </c>
      <c r="I11" t="str">
        <f>ACTIVIDADES!K11</f>
        <v>Pendiente</v>
      </c>
      <c r="J11" s="4">
        <f>ACTIVIDADES!M11</f>
        <v>0</v>
      </c>
      <c r="K11" t="str">
        <f ca="1">ACTIVIDADES!O11</f>
        <v>En plazo</v>
      </c>
      <c r="L11" t="str">
        <f>ACTIVIDADES!P11</f>
        <v>Corte fijo mensual; confirmar responsable</v>
      </c>
    </row>
    <row r="12" spans="1:12">
      <c r="A12" t="str">
        <f>IF(ACTIVIDADES!A12="","",ACTIVIDADES!A12)</f>
        <v>02.01</v>
      </c>
      <c r="B12" t="str">
        <f>IF(ACTIVIDADES!B12="","",ACTIVIDADES!B12)</f>
        <v>CDJ CANTONES</v>
      </c>
      <c r="C12" t="str">
        <f>IF(ACTIVIDADES!C12="","",ACTIVIDADES!C12)</f>
        <v>Informe</v>
      </c>
      <c r="D12" t="str">
        <f>IF(ACTIVIDADES!D12="","",ACTIVIDADES!D12)</f>
        <v>Solicitar y entregar informe mensual</v>
      </c>
      <c r="E12" t="str">
        <f>IF(ACTIVIDADES!E12="","",ACTIVIDADES!E12)</f>
        <v>LUIS HARO</v>
      </c>
      <c r="F12" s="1">
        <f>IF(ACTIVIDADES!H12="","",ACTIVIDADES!H12)</f>
        <v>46302</v>
      </c>
      <c r="G12" s="1">
        <f>IF(ACTIVIDADES!I12="","",ACTIVIDADES!I12)</f>
        <v>46305</v>
      </c>
      <c r="H12">
        <f t="shared" si="0"/>
        <v>4</v>
      </c>
      <c r="I12" t="str">
        <f>ACTIVIDADES!K12</f>
        <v>Cerrado</v>
      </c>
      <c r="J12" s="4">
        <f>ACTIVIDADES!M12</f>
        <v>1</v>
      </c>
      <c r="K12" t="str">
        <f>ACTIVIDADES!O12</f>
        <v>Completado</v>
      </c>
      <c r="L12" t="str">
        <f>ACTIVIDADES!P12</f>
        <v>Fechas del cronograma de informes de agosto 2026</v>
      </c>
    </row>
    <row r="13" spans="1:12">
      <c r="A13" t="str">
        <f>IF(ACTIVIDADES!A13="","",ACTIVIDADES!A13)</f>
        <v>02.02</v>
      </c>
      <c r="B13" t="str">
        <f>IF(ACTIVIDADES!B13="","",ACTIVIDADES!B13)</f>
        <v>CDJ CANTONES</v>
      </c>
      <c r="C13" t="str">
        <f>IF(ACTIVIDADES!C13="","",ACTIVIDADES!C13)</f>
        <v>Abastecimiento</v>
      </c>
      <c r="D13" t="str">
        <f>IF(ACTIVIDADES!D13="","",ACTIVIDADES!D13)</f>
        <v>Solicitar requerimientos de insumos</v>
      </c>
      <c r="E13" t="str">
        <f>IF(ACTIVIDADES!E13="","",ACTIVIDADES!E13)</f>
        <v>LUIS HARO</v>
      </c>
      <c r="F13" s="1">
        <f>IF(ACTIVIDADES!H13="","",ACTIVIDADES!H13)</f>
        <v>46324</v>
      </c>
      <c r="G13" s="1">
        <f>IF(ACTIVIDADES!I13="","",ACTIVIDADES!I13)</f>
        <v>46329</v>
      </c>
      <c r="H13">
        <f t="shared" si="0"/>
        <v>6</v>
      </c>
      <c r="I13" t="str">
        <f>ACTIVIDADES!K13</f>
        <v>Pendiente</v>
      </c>
      <c r="J13" s="4">
        <f>ACTIVIDADES!M13</f>
        <v>0</v>
      </c>
      <c r="K13" t="str">
        <f ca="1">ACTIVIDADES!O13</f>
        <v>En plazo</v>
      </c>
      <c r="L13" t="str">
        <f>ACTIVIDADES!P13</f>
        <v>Fechas del cronograma de abastecimiento de septiembre 2026</v>
      </c>
    </row>
    <row r="14" spans="1:12">
      <c r="A14" t="str">
        <f>IF(ACTIVIDADES!A14="","",ACTIVIDADES!A14)</f>
        <v>02.03</v>
      </c>
      <c r="B14" t="str">
        <f>IF(ACTIVIDADES!B14="","",ACTIVIDADES!B14)</f>
        <v>CDJ CANTONES</v>
      </c>
      <c r="C14" t="str">
        <f>IF(ACTIVIDADES!C14="","",ACTIVIDADES!C14)</f>
        <v>Corte</v>
      </c>
      <c r="D14" t="str">
        <f>IF(ACTIVIDADES!D14="","",ACTIVIDADES!D14)</f>
        <v>Preparar y entregar corte del día 5</v>
      </c>
      <c r="E14" t="str">
        <f>IF(ACTIVIDADES!E14="","",ACTIVIDADES!E14)</f>
        <v/>
      </c>
      <c r="F14" s="1">
        <f>IF(ACTIVIDADES!H14="","",ACTIVIDADES!H14)</f>
        <v>46300</v>
      </c>
      <c r="G14" s="1">
        <f>IF(ACTIVIDADES!I14="","",ACTIVIDADES!I14)</f>
        <v>46300</v>
      </c>
      <c r="H14">
        <f t="shared" si="0"/>
        <v>1</v>
      </c>
      <c r="I14" t="str">
        <f>ACTIVIDADES!K14</f>
        <v>Cerrado</v>
      </c>
      <c r="J14" s="4">
        <f>ACTIVIDADES!M14</f>
        <v>1</v>
      </c>
      <c r="K14" t="str">
        <f>ACTIVIDADES!O14</f>
        <v>Completado</v>
      </c>
      <c r="L14" t="str">
        <f>ACTIVIDADES!P14</f>
        <v>Corte fijo mensual; confirmar responsable</v>
      </c>
    </row>
    <row r="15" spans="1:12">
      <c r="A15" t="str">
        <f>IF(ACTIVIDADES!A15="","",ACTIVIDADES!A15)</f>
        <v>02.04</v>
      </c>
      <c r="B15" t="str">
        <f>IF(ACTIVIDADES!B15="","",ACTIVIDADES!B15)</f>
        <v>CDJ CANTONES</v>
      </c>
      <c r="C15" t="str">
        <f>IF(ACTIVIDADES!C15="","",ACTIVIDADES!C15)</f>
        <v>Corte</v>
      </c>
      <c r="D15" t="str">
        <f>IF(ACTIVIDADES!D15="","",ACTIVIDADES!D15)</f>
        <v>Preparar y entregar corte del día 10</v>
      </c>
      <c r="E15" t="str">
        <f>IF(ACTIVIDADES!E15="","",ACTIVIDADES!E15)</f>
        <v/>
      </c>
      <c r="F15" s="1">
        <f>IF(ACTIVIDADES!H15="","",ACTIVIDADES!H15)</f>
        <v>46305</v>
      </c>
      <c r="G15" s="1">
        <f>IF(ACTIVIDADES!I15="","",ACTIVIDADES!I15)</f>
        <v>46305</v>
      </c>
      <c r="H15">
        <f t="shared" si="0"/>
        <v>1</v>
      </c>
      <c r="I15" t="str">
        <f>ACTIVIDADES!K15</f>
        <v>Cerrado</v>
      </c>
      <c r="J15" s="4">
        <f>ACTIVIDADES!M15</f>
        <v>1</v>
      </c>
      <c r="K15" t="str">
        <f>ACTIVIDADES!O15</f>
        <v>Completado</v>
      </c>
      <c r="L15" t="str">
        <f>ACTIVIDADES!P15</f>
        <v>Corte fijo mensual; confirmar responsable</v>
      </c>
    </row>
    <row r="16" spans="1:12">
      <c r="A16" t="str">
        <f>IF(ACTIVIDADES!A16="","",ACTIVIDADES!A16)</f>
        <v>02.05</v>
      </c>
      <c r="B16" t="str">
        <f>IF(ACTIVIDADES!B16="","",ACTIVIDADES!B16)</f>
        <v>CDJ CANTONES</v>
      </c>
      <c r="C16" t="str">
        <f>IF(ACTIVIDADES!C16="","",ACTIVIDADES!C16)</f>
        <v>Corte</v>
      </c>
      <c r="D16" t="str">
        <f>IF(ACTIVIDADES!D16="","",ACTIVIDADES!D16)</f>
        <v>Preparar y entregar corte del día 20</v>
      </c>
      <c r="E16" t="str">
        <f>IF(ACTIVIDADES!E16="","",ACTIVIDADES!E16)</f>
        <v/>
      </c>
      <c r="F16" s="1">
        <f>IF(ACTIVIDADES!H16="","",ACTIVIDADES!H16)</f>
        <v>46315</v>
      </c>
      <c r="G16" s="1">
        <f>IF(ACTIVIDADES!I16="","",ACTIVIDADES!I16)</f>
        <v>46315</v>
      </c>
      <c r="H16">
        <f t="shared" si="0"/>
        <v>1</v>
      </c>
      <c r="I16" t="str">
        <f>ACTIVIDADES!K16</f>
        <v>Pendiente</v>
      </c>
      <c r="J16" s="4">
        <f>ACTIVIDADES!M16</f>
        <v>0</v>
      </c>
      <c r="K16" t="str">
        <f ca="1">ACTIVIDADES!O16</f>
        <v>En plazo</v>
      </c>
      <c r="L16" t="str">
        <f>ACTIVIDADES!P16</f>
        <v>Corte fijo mensual; confirmar responsable</v>
      </c>
    </row>
    <row r="17" spans="1:12">
      <c r="A17" t="str">
        <f>IF(ACTIVIDADES!A17="","",ACTIVIDADES!A17)</f>
        <v>02.06</v>
      </c>
      <c r="B17" t="str">
        <f>IF(ACTIVIDADES!B17="","",ACTIVIDADES!B17)</f>
        <v>CDJ CANTONES</v>
      </c>
      <c r="C17" t="str">
        <f>IF(ACTIVIDADES!C17="","",ACTIVIDADES!C17)</f>
        <v>Corte</v>
      </c>
      <c r="D17" t="str">
        <f>IF(ACTIVIDADES!D17="","",ACTIVIDADES!D17)</f>
        <v>Preparar y entregar corte del día 26</v>
      </c>
      <c r="E17" t="str">
        <f>IF(ACTIVIDADES!E17="","",ACTIVIDADES!E17)</f>
        <v/>
      </c>
      <c r="F17" s="1">
        <f>IF(ACTIVIDADES!H17="","",ACTIVIDADES!H17)</f>
        <v>46321</v>
      </c>
      <c r="G17" s="1">
        <f>IF(ACTIVIDADES!I17="","",ACTIVIDADES!I17)</f>
        <v>46321</v>
      </c>
      <c r="H17">
        <f t="shared" si="0"/>
        <v>1</v>
      </c>
      <c r="I17" t="str">
        <f>ACTIVIDADES!K17</f>
        <v>Pendiente</v>
      </c>
      <c r="J17" s="4">
        <f>ACTIVIDADES!M17</f>
        <v>0</v>
      </c>
      <c r="K17" t="str">
        <f ca="1">ACTIVIDADES!O17</f>
        <v>En plazo</v>
      </c>
      <c r="L17" t="str">
        <f>ACTIVIDADES!P17</f>
        <v>Corte fijo mensual; confirmar responsable</v>
      </c>
    </row>
    <row r="18" spans="1:12">
      <c r="A18" t="str">
        <f>IF(ACTIVIDADES!A18="","",ACTIVIDADES!A18)</f>
        <v>02.07</v>
      </c>
      <c r="B18" t="str">
        <f>IF(ACTIVIDADES!B18="","",ACTIVIDADES!B18)</f>
        <v>CDJ CANTONES</v>
      </c>
      <c r="C18" t="str">
        <f>IF(ACTIVIDADES!C18="","",ACTIVIDADES!C18)</f>
        <v>Corte</v>
      </c>
      <c r="D18" t="str">
        <f>IF(ACTIVIDADES!D18="","",ACTIVIDADES!D18)</f>
        <v>Preparar y entregar corte del día 30</v>
      </c>
      <c r="E18" t="str">
        <f>IF(ACTIVIDADES!E18="","",ACTIVIDADES!E18)</f>
        <v/>
      </c>
      <c r="F18" s="1">
        <f>IF(ACTIVIDADES!H18="","",ACTIVIDADES!H18)</f>
        <v>46325</v>
      </c>
      <c r="G18" s="1">
        <f>IF(ACTIVIDADES!I18="","",ACTIVIDADES!I18)</f>
        <v>46325</v>
      </c>
      <c r="H18">
        <f t="shared" si="0"/>
        <v>1</v>
      </c>
      <c r="I18" t="str">
        <f>ACTIVIDADES!K18</f>
        <v>Pendiente</v>
      </c>
      <c r="J18" s="4">
        <f>ACTIVIDADES!M18</f>
        <v>0</v>
      </c>
      <c r="K18" t="str">
        <f ca="1">ACTIVIDADES!O18</f>
        <v>En plazo</v>
      </c>
      <c r="L18" t="str">
        <f>ACTIVIDADES!P18</f>
        <v>Corte fijo mensual; confirmar responsable</v>
      </c>
    </row>
    <row r="19" spans="1:12">
      <c r="A19" t="str">
        <f>IF(ACTIVIDADES!A19="","",ACTIVIDADES!A19)</f>
        <v>03.01</v>
      </c>
      <c r="B19" t="str">
        <f>IF(ACTIVIDADES!B19="","",ACTIVIDADES!B19)</f>
        <v>HOSP. MERCED</v>
      </c>
      <c r="C19" t="str">
        <f>IF(ACTIVIDADES!C19="","",ACTIVIDADES!C19)</f>
        <v>Informe</v>
      </c>
      <c r="D19" t="str">
        <f>IF(ACTIVIDADES!D19="","",ACTIVIDADES!D19)</f>
        <v>Solicitar y entregar informe mensual</v>
      </c>
      <c r="E19" t="str">
        <f>IF(ACTIVIDADES!E19="","",ACTIVIDADES!E19)</f>
        <v>LUIS HARO</v>
      </c>
      <c r="F19" s="1">
        <f>IF(ACTIVIDADES!H19="","",ACTIVIDADES!H19)</f>
        <v>46297</v>
      </c>
      <c r="G19" s="1">
        <f>IF(ACTIVIDADES!I19="","",ACTIVIDADES!I19)</f>
        <v>46300</v>
      </c>
      <c r="H19">
        <f t="shared" si="0"/>
        <v>4</v>
      </c>
      <c r="I19" t="str">
        <f>ACTIVIDADES!K19</f>
        <v>Cerrado</v>
      </c>
      <c r="J19" s="4">
        <f>ACTIVIDADES!M19</f>
        <v>1</v>
      </c>
      <c r="K19" t="str">
        <f>ACTIVIDADES!O19</f>
        <v>Completado</v>
      </c>
      <c r="L19" t="str">
        <f>ACTIVIDADES!P19</f>
        <v>Fechas del cronograma de informes de agosto 2026</v>
      </c>
    </row>
    <row r="20" spans="1:12">
      <c r="A20" t="str">
        <f>IF(ACTIVIDADES!A20="","",ACTIVIDADES!A20)</f>
        <v>03.02</v>
      </c>
      <c r="B20" t="str">
        <f>IF(ACTIVIDADES!B20="","",ACTIVIDADES!B20)</f>
        <v>HOSP. MERCED</v>
      </c>
      <c r="C20" t="str">
        <f>IF(ACTIVIDADES!C20="","",ACTIVIDADES!C20)</f>
        <v>Abastecimiento</v>
      </c>
      <c r="D20" t="str">
        <f>IF(ACTIVIDADES!D20="","",ACTIVIDADES!D20)</f>
        <v>Solicitar requerimientos de insumos</v>
      </c>
      <c r="E20" t="str">
        <f>IF(ACTIVIDADES!E20="","",ACTIVIDADES!E20)</f>
        <v>LUIS HARO</v>
      </c>
      <c r="F20" s="1">
        <f>IF(ACTIVIDADES!H20="","",ACTIVIDADES!H20)</f>
        <v>46313</v>
      </c>
      <c r="G20" s="1">
        <f>IF(ACTIVIDADES!I20="","",ACTIVIDADES!I20)</f>
        <v>46318</v>
      </c>
      <c r="H20">
        <f t="shared" si="0"/>
        <v>6</v>
      </c>
      <c r="I20" t="str">
        <f>ACTIVIDADES!K20</f>
        <v>Pendiente</v>
      </c>
      <c r="J20" s="4">
        <f>ACTIVIDADES!M20</f>
        <v>0</v>
      </c>
      <c r="K20" t="str">
        <f ca="1">ACTIVIDADES!O20</f>
        <v>En plazo</v>
      </c>
      <c r="L20" t="str">
        <f>ACTIVIDADES!P20</f>
        <v>Fechas del cronograma de abastecimiento de septiembre 2026</v>
      </c>
    </row>
    <row r="21" spans="1:12">
      <c r="A21" t="str">
        <f>IF(ACTIVIDADES!A21="","",ACTIVIDADES!A21)</f>
        <v>03.03</v>
      </c>
      <c r="B21" t="str">
        <f>IF(ACTIVIDADES!B21="","",ACTIVIDADES!B21)</f>
        <v>HOSP. MERCED</v>
      </c>
      <c r="C21" t="str">
        <f>IF(ACTIVIDADES!C21="","",ACTIVIDADES!C21)</f>
        <v>Corte</v>
      </c>
      <c r="D21" t="str">
        <f>IF(ACTIVIDADES!D21="","",ACTIVIDADES!D21)</f>
        <v>Preparar y entregar corte del día 5</v>
      </c>
      <c r="E21" t="str">
        <f>IF(ACTIVIDADES!E21="","",ACTIVIDADES!E21)</f>
        <v/>
      </c>
      <c r="F21" s="1">
        <f>IF(ACTIVIDADES!H21="","",ACTIVIDADES!H21)</f>
        <v>46300</v>
      </c>
      <c r="G21" s="1">
        <f>IF(ACTIVIDADES!I21="","",ACTIVIDADES!I21)</f>
        <v>46300</v>
      </c>
      <c r="H21">
        <f t="shared" si="0"/>
        <v>1</v>
      </c>
      <c r="I21" t="str">
        <f>ACTIVIDADES!K21</f>
        <v>Cerrado</v>
      </c>
      <c r="J21" s="4">
        <f>ACTIVIDADES!M21</f>
        <v>1</v>
      </c>
      <c r="K21" t="str">
        <f>ACTIVIDADES!O21</f>
        <v>Completado</v>
      </c>
      <c r="L21" t="str">
        <f>ACTIVIDADES!P21</f>
        <v>Corte fijo mensual; confirmar responsable</v>
      </c>
    </row>
    <row r="22" spans="1:12">
      <c r="A22" t="str">
        <f>IF(ACTIVIDADES!A22="","",ACTIVIDADES!A22)</f>
        <v>03.04</v>
      </c>
      <c r="B22" t="str">
        <f>IF(ACTIVIDADES!B22="","",ACTIVIDADES!B22)</f>
        <v>HOSP. MERCED</v>
      </c>
      <c r="C22" t="str">
        <f>IF(ACTIVIDADES!C22="","",ACTIVIDADES!C22)</f>
        <v>Corte</v>
      </c>
      <c r="D22" t="str">
        <f>IF(ACTIVIDADES!D22="","",ACTIVIDADES!D22)</f>
        <v>Preparar y entregar corte del día 10</v>
      </c>
      <c r="E22" t="str">
        <f>IF(ACTIVIDADES!E22="","",ACTIVIDADES!E22)</f>
        <v/>
      </c>
      <c r="F22" s="1">
        <f>IF(ACTIVIDADES!H22="","",ACTIVIDADES!H22)</f>
        <v>46305</v>
      </c>
      <c r="G22" s="1">
        <f>IF(ACTIVIDADES!I22="","",ACTIVIDADES!I22)</f>
        <v>46305</v>
      </c>
      <c r="H22">
        <f t="shared" si="0"/>
        <v>1</v>
      </c>
      <c r="I22" t="str">
        <f>ACTIVIDADES!K22</f>
        <v>Cerrado</v>
      </c>
      <c r="J22" s="4">
        <f>ACTIVIDADES!M22</f>
        <v>1</v>
      </c>
      <c r="K22" t="str">
        <f>ACTIVIDADES!O22</f>
        <v>Completado</v>
      </c>
      <c r="L22" t="str">
        <f>ACTIVIDADES!P22</f>
        <v>Corte fijo mensual; confirmar responsable</v>
      </c>
    </row>
    <row r="23" spans="1:12">
      <c r="A23" t="str">
        <f>IF(ACTIVIDADES!A23="","",ACTIVIDADES!A23)</f>
        <v>03.05</v>
      </c>
      <c r="B23" t="str">
        <f>IF(ACTIVIDADES!B23="","",ACTIVIDADES!B23)</f>
        <v>HOSP. MERCED</v>
      </c>
      <c r="C23" t="str">
        <f>IF(ACTIVIDADES!C23="","",ACTIVIDADES!C23)</f>
        <v>Corte</v>
      </c>
      <c r="D23" t="str">
        <f>IF(ACTIVIDADES!D23="","",ACTIVIDADES!D23)</f>
        <v>Preparar y entregar corte del día 20</v>
      </c>
      <c r="E23" t="str">
        <f>IF(ACTIVIDADES!E23="","",ACTIVIDADES!E23)</f>
        <v/>
      </c>
      <c r="F23" s="1">
        <f>IF(ACTIVIDADES!H23="","",ACTIVIDADES!H23)</f>
        <v>46315</v>
      </c>
      <c r="G23" s="1">
        <f>IF(ACTIVIDADES!I23="","",ACTIVIDADES!I23)</f>
        <v>46315</v>
      </c>
      <c r="H23">
        <f t="shared" si="0"/>
        <v>1</v>
      </c>
      <c r="I23" t="str">
        <f>ACTIVIDADES!K23</f>
        <v>Pendiente</v>
      </c>
      <c r="J23" s="4">
        <f>ACTIVIDADES!M23</f>
        <v>0</v>
      </c>
      <c r="K23" t="str">
        <f ca="1">ACTIVIDADES!O23</f>
        <v>En plazo</v>
      </c>
      <c r="L23" t="str">
        <f>ACTIVIDADES!P23</f>
        <v>Corte fijo mensual; confirmar responsable</v>
      </c>
    </row>
    <row r="24" spans="1:12">
      <c r="A24" t="str">
        <f>IF(ACTIVIDADES!A24="","",ACTIVIDADES!A24)</f>
        <v>03.06</v>
      </c>
      <c r="B24" t="str">
        <f>IF(ACTIVIDADES!B24="","",ACTIVIDADES!B24)</f>
        <v>HOSP. MERCED</v>
      </c>
      <c r="C24" t="str">
        <f>IF(ACTIVIDADES!C24="","",ACTIVIDADES!C24)</f>
        <v>Corte</v>
      </c>
      <c r="D24" t="str">
        <f>IF(ACTIVIDADES!D24="","",ACTIVIDADES!D24)</f>
        <v>Preparar y entregar corte del día 26</v>
      </c>
      <c r="E24" t="str">
        <f>IF(ACTIVIDADES!E24="","",ACTIVIDADES!E24)</f>
        <v/>
      </c>
      <c r="F24" s="1">
        <f>IF(ACTIVIDADES!H24="","",ACTIVIDADES!H24)</f>
        <v>46321</v>
      </c>
      <c r="G24" s="1">
        <f>IF(ACTIVIDADES!I24="","",ACTIVIDADES!I24)</f>
        <v>46321</v>
      </c>
      <c r="H24">
        <f t="shared" si="0"/>
        <v>1</v>
      </c>
      <c r="I24" t="str">
        <f>ACTIVIDADES!K24</f>
        <v>Pendiente</v>
      </c>
      <c r="J24" s="4">
        <f>ACTIVIDADES!M24</f>
        <v>0</v>
      </c>
      <c r="K24" t="str">
        <f ca="1">ACTIVIDADES!O24</f>
        <v>En plazo</v>
      </c>
      <c r="L24" t="str">
        <f>ACTIVIDADES!P24</f>
        <v>Corte fijo mensual; confirmar responsable</v>
      </c>
    </row>
    <row r="25" spans="1:12">
      <c r="A25" t="str">
        <f>IF(ACTIVIDADES!A25="","",ACTIVIDADES!A25)</f>
        <v>03.07</v>
      </c>
      <c r="B25" t="str">
        <f>IF(ACTIVIDADES!B25="","",ACTIVIDADES!B25)</f>
        <v>HOSP. MERCED</v>
      </c>
      <c r="C25" t="str">
        <f>IF(ACTIVIDADES!C25="","",ACTIVIDADES!C25)</f>
        <v>Corte</v>
      </c>
      <c r="D25" t="str">
        <f>IF(ACTIVIDADES!D25="","",ACTIVIDADES!D25)</f>
        <v>Preparar y entregar corte del día 30</v>
      </c>
      <c r="E25" t="str">
        <f>IF(ACTIVIDADES!E25="","",ACTIVIDADES!E25)</f>
        <v/>
      </c>
      <c r="F25" s="1">
        <f>IF(ACTIVIDADES!H25="","",ACTIVIDADES!H25)</f>
        <v>46325</v>
      </c>
      <c r="G25" s="1">
        <f>IF(ACTIVIDADES!I25="","",ACTIVIDADES!I25)</f>
        <v>46325</v>
      </c>
      <c r="H25">
        <f t="shared" si="0"/>
        <v>1</v>
      </c>
      <c r="I25" t="str">
        <f>ACTIVIDADES!K25</f>
        <v>Pendiente</v>
      </c>
      <c r="J25" s="4">
        <f>ACTIVIDADES!M25</f>
        <v>0</v>
      </c>
      <c r="K25" t="str">
        <f ca="1">ACTIVIDADES!O25</f>
        <v>En plazo</v>
      </c>
      <c r="L25" t="str">
        <f>ACTIVIDADES!P25</f>
        <v>Corte fijo mensual; confirmar responsable</v>
      </c>
    </row>
    <row r="26" spans="1:12">
      <c r="A26" t="str">
        <f>IF(ACTIVIDADES!A26="","",ACTIVIDADES!A26)</f>
        <v>04.01</v>
      </c>
      <c r="B26" t="str">
        <f>IF(ACTIVIDADES!B26="","",ACTIVIDADES!B26)</f>
        <v>SECAP</v>
      </c>
      <c r="C26" t="str">
        <f>IF(ACTIVIDADES!C26="","",ACTIVIDADES!C26)</f>
        <v>Informe</v>
      </c>
      <c r="D26" t="str">
        <f>IF(ACTIVIDADES!D26="","",ACTIVIDADES!D26)</f>
        <v>Solicitar y entregar informe mensual</v>
      </c>
      <c r="E26" t="str">
        <f>IF(ACTIVIDADES!E26="","",ACTIVIDADES!E26)</f>
        <v>EDDY VELEZ</v>
      </c>
      <c r="F26" s="1">
        <f>IF(ACTIVIDADES!H26="","",ACTIVIDADES!H26)</f>
        <v>51136</v>
      </c>
      <c r="G26" s="1">
        <f>IF(ACTIVIDADES!I26="","",ACTIVIDADES!I26)</f>
        <v>46298</v>
      </c>
      <c r="H26">
        <f t="shared" si="0"/>
        <v>-4837</v>
      </c>
      <c r="I26" t="str">
        <f>ACTIVIDADES!K26</f>
        <v>Cerrado</v>
      </c>
      <c r="J26" s="4">
        <f>ACTIVIDADES!M26</f>
        <v>1</v>
      </c>
      <c r="K26" t="str">
        <f>ACTIVIDADES!O26</f>
        <v>Completado</v>
      </c>
      <c r="L26" t="str">
        <f>ACTIVIDADES!P26</f>
        <v>Fechas del cronograma de informes de agosto 2026</v>
      </c>
    </row>
    <row r="27" spans="1:12">
      <c r="A27" t="str">
        <f>IF(ACTIVIDADES!A27="","",ACTIVIDADES!A27)</f>
        <v>04.02</v>
      </c>
      <c r="B27" t="str">
        <f>IF(ACTIVIDADES!B27="","",ACTIVIDADES!B27)</f>
        <v>SECAP</v>
      </c>
      <c r="C27" t="str">
        <f>IF(ACTIVIDADES!C27="","",ACTIVIDADES!C27)</f>
        <v>Abastecimiento</v>
      </c>
      <c r="D27" t="str">
        <f>IF(ACTIVIDADES!D27="","",ACTIVIDADES!D27)</f>
        <v>Solicitar requerimientos de insumos</v>
      </c>
      <c r="E27" t="str">
        <f>IF(ACTIVIDADES!E27="","",ACTIVIDADES!E27)</f>
        <v>EDDY VELEZ</v>
      </c>
      <c r="F27" s="1">
        <f>IF(ACTIVIDADES!H27="","",ACTIVIDADES!H27)</f>
        <v>46310</v>
      </c>
      <c r="G27" s="1">
        <f>IF(ACTIVIDADES!I27="","",ACTIVIDADES!I27)</f>
        <v>46315</v>
      </c>
      <c r="H27">
        <f t="shared" si="0"/>
        <v>6</v>
      </c>
      <c r="I27" t="str">
        <f>ACTIVIDADES!K27</f>
        <v>Pendiente</v>
      </c>
      <c r="J27" s="4">
        <f>ACTIVIDADES!M27</f>
        <v>0</v>
      </c>
      <c r="K27" t="str">
        <f ca="1">ACTIVIDADES!O27</f>
        <v>En plazo</v>
      </c>
      <c r="L27" t="str">
        <f>ACTIVIDADES!P27</f>
        <v>Fechas del cronograma de abastecimiento de septiembre 2026</v>
      </c>
    </row>
    <row r="28" spans="1:12">
      <c r="A28" t="str">
        <f>IF(ACTIVIDADES!A28="","",ACTIVIDADES!A28)</f>
        <v>04.03</v>
      </c>
      <c r="B28" t="str">
        <f>IF(ACTIVIDADES!B28="","",ACTIVIDADES!B28)</f>
        <v>SECAP</v>
      </c>
      <c r="C28" t="str">
        <f>IF(ACTIVIDADES!C28="","",ACTIVIDADES!C28)</f>
        <v>Corte</v>
      </c>
      <c r="D28" t="str">
        <f>IF(ACTIVIDADES!D28="","",ACTIVIDADES!D28)</f>
        <v>Preparar y entregar corte del día 5</v>
      </c>
      <c r="E28" t="str">
        <f>IF(ACTIVIDADES!E28="","",ACTIVIDADES!E28)</f>
        <v/>
      </c>
      <c r="F28" s="1">
        <f>IF(ACTIVIDADES!H28="","",ACTIVIDADES!H28)</f>
        <v>46300</v>
      </c>
      <c r="G28" s="1">
        <f>IF(ACTIVIDADES!I28="","",ACTIVIDADES!I28)</f>
        <v>46300</v>
      </c>
      <c r="H28">
        <f t="shared" si="0"/>
        <v>1</v>
      </c>
      <c r="I28" t="str">
        <f>ACTIVIDADES!K28</f>
        <v>Cerrado</v>
      </c>
      <c r="J28" s="4">
        <f>ACTIVIDADES!M28</f>
        <v>1</v>
      </c>
      <c r="K28" t="str">
        <f>ACTIVIDADES!O28</f>
        <v>Completado</v>
      </c>
      <c r="L28" t="str">
        <f>ACTIVIDADES!P28</f>
        <v>Corte fijo mensual; confirmar responsable</v>
      </c>
    </row>
    <row r="29" spans="1:12">
      <c r="A29" t="str">
        <f>IF(ACTIVIDADES!A29="","",ACTIVIDADES!A29)</f>
        <v>04.04</v>
      </c>
      <c r="B29" t="str">
        <f>IF(ACTIVIDADES!B29="","",ACTIVIDADES!B29)</f>
        <v>SECAP</v>
      </c>
      <c r="C29" t="str">
        <f>IF(ACTIVIDADES!C29="","",ACTIVIDADES!C29)</f>
        <v>Corte</v>
      </c>
      <c r="D29" t="str">
        <f>IF(ACTIVIDADES!D29="","",ACTIVIDADES!D29)</f>
        <v>Preparar y entregar corte del día 10</v>
      </c>
      <c r="E29" t="str">
        <f>IF(ACTIVIDADES!E29="","",ACTIVIDADES!E29)</f>
        <v/>
      </c>
      <c r="F29" s="1">
        <f>IF(ACTIVIDADES!H29="","",ACTIVIDADES!H29)</f>
        <v>46305</v>
      </c>
      <c r="G29" s="1">
        <f>IF(ACTIVIDADES!I29="","",ACTIVIDADES!I29)</f>
        <v>46305</v>
      </c>
      <c r="H29">
        <f t="shared" si="0"/>
        <v>1</v>
      </c>
      <c r="I29" t="str">
        <f>ACTIVIDADES!K29</f>
        <v>Cerrado</v>
      </c>
      <c r="J29" s="4">
        <f>ACTIVIDADES!M29</f>
        <v>1</v>
      </c>
      <c r="K29" t="str">
        <f>ACTIVIDADES!O29</f>
        <v>Completado</v>
      </c>
      <c r="L29" t="str">
        <f>ACTIVIDADES!P29</f>
        <v>Corte fijo mensual; confirmar responsable</v>
      </c>
    </row>
    <row r="30" spans="1:12">
      <c r="A30" t="str">
        <f>IF(ACTIVIDADES!A30="","",ACTIVIDADES!A30)</f>
        <v>04.05</v>
      </c>
      <c r="B30" t="str">
        <f>IF(ACTIVIDADES!B30="","",ACTIVIDADES!B30)</f>
        <v>SECAP</v>
      </c>
      <c r="C30" t="str">
        <f>IF(ACTIVIDADES!C30="","",ACTIVIDADES!C30)</f>
        <v>Corte</v>
      </c>
      <c r="D30" t="str">
        <f>IF(ACTIVIDADES!D30="","",ACTIVIDADES!D30)</f>
        <v>Preparar y entregar corte del día 20</v>
      </c>
      <c r="E30" t="str">
        <f>IF(ACTIVIDADES!E30="","",ACTIVIDADES!E30)</f>
        <v/>
      </c>
      <c r="F30" s="1">
        <f>IF(ACTIVIDADES!H30="","",ACTIVIDADES!H30)</f>
        <v>46315</v>
      </c>
      <c r="G30" s="1">
        <f>IF(ACTIVIDADES!I30="","",ACTIVIDADES!I30)</f>
        <v>46315</v>
      </c>
      <c r="H30">
        <f t="shared" si="0"/>
        <v>1</v>
      </c>
      <c r="I30" t="str">
        <f>ACTIVIDADES!K30</f>
        <v>Pendiente</v>
      </c>
      <c r="J30" s="4">
        <f>ACTIVIDADES!M30</f>
        <v>0</v>
      </c>
      <c r="K30" t="str">
        <f ca="1">ACTIVIDADES!O30</f>
        <v>En plazo</v>
      </c>
      <c r="L30" t="str">
        <f>ACTIVIDADES!P30</f>
        <v>Corte fijo mensual; confirmar responsable</v>
      </c>
    </row>
    <row r="31" spans="1:12">
      <c r="A31" t="str">
        <f>IF(ACTIVIDADES!A31="","",ACTIVIDADES!A31)</f>
        <v>04.06</v>
      </c>
      <c r="B31" t="str">
        <f>IF(ACTIVIDADES!B31="","",ACTIVIDADES!B31)</f>
        <v>SECAP</v>
      </c>
      <c r="C31" t="str">
        <f>IF(ACTIVIDADES!C31="","",ACTIVIDADES!C31)</f>
        <v>Corte</v>
      </c>
      <c r="D31" t="str">
        <f>IF(ACTIVIDADES!D31="","",ACTIVIDADES!D31)</f>
        <v>Preparar y entregar corte del día 26</v>
      </c>
      <c r="E31" t="str">
        <f>IF(ACTIVIDADES!E31="","",ACTIVIDADES!E31)</f>
        <v/>
      </c>
      <c r="F31" s="1">
        <f>IF(ACTIVIDADES!H31="","",ACTIVIDADES!H31)</f>
        <v>46321</v>
      </c>
      <c r="G31" s="1">
        <f>IF(ACTIVIDADES!I31="","",ACTIVIDADES!I31)</f>
        <v>46321</v>
      </c>
      <c r="H31">
        <f t="shared" si="0"/>
        <v>1</v>
      </c>
      <c r="I31" t="str">
        <f>ACTIVIDADES!K31</f>
        <v>Pendiente</v>
      </c>
      <c r="J31" s="4">
        <f>ACTIVIDADES!M31</f>
        <v>0</v>
      </c>
      <c r="K31" t="str">
        <f ca="1">ACTIVIDADES!O31</f>
        <v>En plazo</v>
      </c>
      <c r="L31" t="str">
        <f>ACTIVIDADES!P31</f>
        <v>Corte fijo mensual; confirmar responsable</v>
      </c>
    </row>
    <row r="32" spans="1:12">
      <c r="A32" t="str">
        <f>IF(ACTIVIDADES!A32="","",ACTIVIDADES!A32)</f>
        <v>04.07</v>
      </c>
      <c r="B32" t="str">
        <f>IF(ACTIVIDADES!B32="","",ACTIVIDADES!B32)</f>
        <v>SECAP</v>
      </c>
      <c r="C32" t="str">
        <f>IF(ACTIVIDADES!C32="","",ACTIVIDADES!C32)</f>
        <v>Corte</v>
      </c>
      <c r="D32" t="str">
        <f>IF(ACTIVIDADES!D32="","",ACTIVIDADES!D32)</f>
        <v>Preparar y entregar corte del día 30</v>
      </c>
      <c r="E32" t="str">
        <f>IF(ACTIVIDADES!E32="","",ACTIVIDADES!E32)</f>
        <v/>
      </c>
      <c r="F32" s="1">
        <f>IF(ACTIVIDADES!H32="","",ACTIVIDADES!H32)</f>
        <v>46325</v>
      </c>
      <c r="G32" s="1">
        <f>IF(ACTIVIDADES!I32="","",ACTIVIDADES!I32)</f>
        <v>46325</v>
      </c>
      <c r="H32">
        <f t="shared" si="0"/>
        <v>1</v>
      </c>
      <c r="I32" t="str">
        <f>ACTIVIDADES!K32</f>
        <v>Pendiente</v>
      </c>
      <c r="J32" s="4">
        <f>ACTIVIDADES!M32</f>
        <v>0</v>
      </c>
      <c r="K32" t="str">
        <f ca="1">ACTIVIDADES!O32</f>
        <v>En plazo</v>
      </c>
      <c r="L32" t="str">
        <f>ACTIVIDADES!P32</f>
        <v>Corte fijo mensual; confirmar responsable</v>
      </c>
    </row>
    <row r="33" spans="1:12">
      <c r="A33" t="str">
        <f>IF(ACTIVIDADES!A33="","",ACTIVIDADES!A33)</f>
        <v>05.01</v>
      </c>
      <c r="B33" t="str">
        <f>IF(ACTIVIDADES!B33="","",ACTIVIDADES!B33)</f>
        <v>SENAE</v>
      </c>
      <c r="C33" t="str">
        <f>IF(ACTIVIDADES!C33="","",ACTIVIDADES!C33)</f>
        <v>Informe</v>
      </c>
      <c r="D33" t="str">
        <f>IF(ACTIVIDADES!D33="","",ACTIVIDADES!D33)</f>
        <v>Solicitar y entregar informe mensual</v>
      </c>
      <c r="E33" t="str">
        <f>IF(ACTIVIDADES!E33="","",ACTIVIDADES!E33)</f>
        <v>EDDY VELEZ</v>
      </c>
      <c r="F33" s="1">
        <f>IF(ACTIVIDADES!H33="","",ACTIVIDADES!H33)</f>
        <v>46299</v>
      </c>
      <c r="G33" s="1">
        <f>IF(ACTIVIDADES!I33="","",ACTIVIDADES!I33)</f>
        <v>46301</v>
      </c>
      <c r="H33">
        <f t="shared" si="0"/>
        <v>3</v>
      </c>
      <c r="I33" t="str">
        <f>ACTIVIDADES!K33</f>
        <v>Cerrado</v>
      </c>
      <c r="J33" s="4">
        <f>ACTIVIDADES!M33</f>
        <v>1</v>
      </c>
      <c r="K33" t="str">
        <f>ACTIVIDADES!O33</f>
        <v>Completado</v>
      </c>
      <c r="L33" t="str">
        <f>ACTIVIDADES!P33</f>
        <v>Fechas del cronograma de informes de agosto 2026</v>
      </c>
    </row>
    <row r="34" spans="1:12">
      <c r="A34" t="str">
        <f>IF(ACTIVIDADES!A34="","",ACTIVIDADES!A34)</f>
        <v>05.02</v>
      </c>
      <c r="B34" t="str">
        <f>IF(ACTIVIDADES!B34="","",ACTIVIDADES!B34)</f>
        <v>SENAE</v>
      </c>
      <c r="C34" t="str">
        <f>IF(ACTIVIDADES!C34="","",ACTIVIDADES!C34)</f>
        <v>Abastecimiento</v>
      </c>
      <c r="D34" t="str">
        <f>IF(ACTIVIDADES!D34="","",ACTIVIDADES!D34)</f>
        <v>Solicitar requerimientos de insumos</v>
      </c>
      <c r="E34" t="str">
        <f>IF(ACTIVIDADES!E34="","",ACTIVIDADES!E34)</f>
        <v>EDDY VELEZ</v>
      </c>
      <c r="F34" s="1">
        <f>IF(ACTIVIDADES!H34="","",ACTIVIDADES!H34)</f>
        <v>46304</v>
      </c>
      <c r="G34" s="1">
        <f>IF(ACTIVIDADES!I34="","",ACTIVIDADES!I34)</f>
        <v>46306</v>
      </c>
      <c r="H34">
        <f t="shared" si="0"/>
        <v>3</v>
      </c>
      <c r="I34" t="str">
        <f>ACTIVIDADES!K34</f>
        <v>Pendiente</v>
      </c>
      <c r="J34" s="4">
        <f>ACTIVIDADES!M34</f>
        <v>0</v>
      </c>
      <c r="K34" t="str">
        <f ca="1">ACTIVIDADES!O34</f>
        <v>Vencido</v>
      </c>
      <c r="L34" t="str">
        <f>ACTIVIDADES!P34</f>
        <v>Fechas del cronograma de abastecimiento de septiembre 2026</v>
      </c>
    </row>
    <row r="35" spans="1:12">
      <c r="A35" t="str">
        <f>IF(ACTIVIDADES!A35="","",ACTIVIDADES!A35)</f>
        <v>05.03</v>
      </c>
      <c r="B35" t="str">
        <f>IF(ACTIVIDADES!B35="","",ACTIVIDADES!B35)</f>
        <v>SENAE</v>
      </c>
      <c r="C35" t="str">
        <f>IF(ACTIVIDADES!C35="","",ACTIVIDADES!C35)</f>
        <v>Corte</v>
      </c>
      <c r="D35" t="str">
        <f>IF(ACTIVIDADES!D35="","",ACTIVIDADES!D35)</f>
        <v>Preparar y entregar corte del día 5</v>
      </c>
      <c r="E35" t="str">
        <f>IF(ACTIVIDADES!E35="","",ACTIVIDADES!E35)</f>
        <v/>
      </c>
      <c r="F35" s="1">
        <f>IF(ACTIVIDADES!H35="","",ACTIVIDADES!H35)</f>
        <v>46300</v>
      </c>
      <c r="G35" s="1">
        <f>IF(ACTIVIDADES!I35="","",ACTIVIDADES!I35)</f>
        <v>46300</v>
      </c>
      <c r="H35">
        <f t="shared" si="0"/>
        <v>1</v>
      </c>
      <c r="I35" t="str">
        <f>ACTIVIDADES!K35</f>
        <v>Cerrado</v>
      </c>
      <c r="J35" s="4">
        <f>ACTIVIDADES!M35</f>
        <v>1</v>
      </c>
      <c r="K35" t="str">
        <f>ACTIVIDADES!O35</f>
        <v>Completado</v>
      </c>
      <c r="L35" t="str">
        <f>ACTIVIDADES!P35</f>
        <v>Corte fijo mensual; confirmar responsable</v>
      </c>
    </row>
    <row r="36" spans="1:12">
      <c r="A36" t="str">
        <f>IF(ACTIVIDADES!A36="","",ACTIVIDADES!A36)</f>
        <v>05.04</v>
      </c>
      <c r="B36" t="str">
        <f>IF(ACTIVIDADES!B36="","",ACTIVIDADES!B36)</f>
        <v>SENAE</v>
      </c>
      <c r="C36" t="str">
        <f>IF(ACTIVIDADES!C36="","",ACTIVIDADES!C36)</f>
        <v>Corte</v>
      </c>
      <c r="D36" t="str">
        <f>IF(ACTIVIDADES!D36="","",ACTIVIDADES!D36)</f>
        <v>Preparar y entregar corte del día 10</v>
      </c>
      <c r="E36" t="str">
        <f>IF(ACTIVIDADES!E36="","",ACTIVIDADES!E36)</f>
        <v/>
      </c>
      <c r="F36" s="1">
        <f>IF(ACTIVIDADES!H36="","",ACTIVIDADES!H36)</f>
        <v>46305</v>
      </c>
      <c r="G36" s="1">
        <f>IF(ACTIVIDADES!I36="","",ACTIVIDADES!I36)</f>
        <v>46305</v>
      </c>
      <c r="H36">
        <f t="shared" si="0"/>
        <v>1</v>
      </c>
      <c r="I36" t="str">
        <f>ACTIVIDADES!K36</f>
        <v>Cerrado</v>
      </c>
      <c r="J36" s="4">
        <f>ACTIVIDADES!M36</f>
        <v>1</v>
      </c>
      <c r="K36" t="str">
        <f>ACTIVIDADES!O36</f>
        <v>Completado</v>
      </c>
      <c r="L36" t="str">
        <f>ACTIVIDADES!P36</f>
        <v>Corte fijo mensual; confirmar responsable</v>
      </c>
    </row>
    <row r="37" spans="1:12">
      <c r="A37" t="str">
        <f>IF(ACTIVIDADES!A37="","",ACTIVIDADES!A37)</f>
        <v>05.05</v>
      </c>
      <c r="B37" t="str">
        <f>IF(ACTIVIDADES!B37="","",ACTIVIDADES!B37)</f>
        <v>SENAE</v>
      </c>
      <c r="C37" t="str">
        <f>IF(ACTIVIDADES!C37="","",ACTIVIDADES!C37)</f>
        <v>Corte</v>
      </c>
      <c r="D37" t="str">
        <f>IF(ACTIVIDADES!D37="","",ACTIVIDADES!D37)</f>
        <v>Preparar y entregar corte del día 20</v>
      </c>
      <c r="E37" t="str">
        <f>IF(ACTIVIDADES!E37="","",ACTIVIDADES!E37)</f>
        <v/>
      </c>
      <c r="F37" s="1">
        <f>IF(ACTIVIDADES!H37="","",ACTIVIDADES!H37)</f>
        <v>46315</v>
      </c>
      <c r="G37" s="1">
        <f>IF(ACTIVIDADES!I37="","",ACTIVIDADES!I37)</f>
        <v>46315</v>
      </c>
      <c r="H37">
        <f t="shared" ref="H37:H68" si="1">IF(OR(F37="",G37=""),"",G37-F37+1)</f>
        <v>1</v>
      </c>
      <c r="I37" t="str">
        <f>ACTIVIDADES!K37</f>
        <v>Pendiente</v>
      </c>
      <c r="J37" s="4">
        <f>ACTIVIDADES!M37</f>
        <v>0</v>
      </c>
      <c r="K37" t="str">
        <f ca="1">ACTIVIDADES!O37</f>
        <v>En plazo</v>
      </c>
      <c r="L37" t="str">
        <f>ACTIVIDADES!P37</f>
        <v>Corte fijo mensual; confirmar responsable</v>
      </c>
    </row>
    <row r="38" spans="1:12">
      <c r="A38" t="str">
        <f>IF(ACTIVIDADES!A38="","",ACTIVIDADES!A38)</f>
        <v>05.06</v>
      </c>
      <c r="B38" t="str">
        <f>IF(ACTIVIDADES!B38="","",ACTIVIDADES!B38)</f>
        <v>SENAE</v>
      </c>
      <c r="C38" t="str">
        <f>IF(ACTIVIDADES!C38="","",ACTIVIDADES!C38)</f>
        <v>Corte</v>
      </c>
      <c r="D38" t="str">
        <f>IF(ACTIVIDADES!D38="","",ACTIVIDADES!D38)</f>
        <v>Preparar y entregar corte del día 26</v>
      </c>
      <c r="E38" t="str">
        <f>IF(ACTIVIDADES!E38="","",ACTIVIDADES!E38)</f>
        <v/>
      </c>
      <c r="F38" s="1">
        <f>IF(ACTIVIDADES!H38="","",ACTIVIDADES!H38)</f>
        <v>46321</v>
      </c>
      <c r="G38" s="1">
        <f>IF(ACTIVIDADES!I38="","",ACTIVIDADES!I38)</f>
        <v>46321</v>
      </c>
      <c r="H38">
        <f t="shared" si="1"/>
        <v>1</v>
      </c>
      <c r="I38" t="str">
        <f>ACTIVIDADES!K38</f>
        <v>Pendiente</v>
      </c>
      <c r="J38" s="4">
        <f>ACTIVIDADES!M38</f>
        <v>0</v>
      </c>
      <c r="K38" t="str">
        <f ca="1">ACTIVIDADES!O38</f>
        <v>En plazo</v>
      </c>
      <c r="L38" t="str">
        <f>ACTIVIDADES!P38</f>
        <v>Corte fijo mensual; confirmar responsable</v>
      </c>
    </row>
    <row r="39" spans="1:12">
      <c r="A39" t="str">
        <f>IF(ACTIVIDADES!A39="","",ACTIVIDADES!A39)</f>
        <v>05.07</v>
      </c>
      <c r="B39" t="str">
        <f>IF(ACTIVIDADES!B39="","",ACTIVIDADES!B39)</f>
        <v>SENAE</v>
      </c>
      <c r="C39" t="str">
        <f>IF(ACTIVIDADES!C39="","",ACTIVIDADES!C39)</f>
        <v>Corte</v>
      </c>
      <c r="D39" t="str">
        <f>IF(ACTIVIDADES!D39="","",ACTIVIDADES!D39)</f>
        <v>Preparar y entregar corte del día 30</v>
      </c>
      <c r="E39" t="str">
        <f>IF(ACTIVIDADES!E39="","",ACTIVIDADES!E39)</f>
        <v/>
      </c>
      <c r="F39" s="1">
        <f>IF(ACTIVIDADES!H39="","",ACTIVIDADES!H39)</f>
        <v>46325</v>
      </c>
      <c r="G39" s="1">
        <f>IF(ACTIVIDADES!I39="","",ACTIVIDADES!I39)</f>
        <v>46325</v>
      </c>
      <c r="H39">
        <f t="shared" si="1"/>
        <v>1</v>
      </c>
      <c r="I39" t="str">
        <f>ACTIVIDADES!K39</f>
        <v>Pendiente</v>
      </c>
      <c r="J39" s="4">
        <f>ACTIVIDADES!M39</f>
        <v>0</v>
      </c>
      <c r="K39" t="str">
        <f ca="1">ACTIVIDADES!O39</f>
        <v>En plazo</v>
      </c>
      <c r="L39" t="str">
        <f>ACTIVIDADES!P39</f>
        <v>Corte fijo mensual; confirmar responsable</v>
      </c>
    </row>
    <row r="40" spans="1:12">
      <c r="A40" t="str">
        <f>IF(ACTIVIDADES!A40="","",ACTIVIDADES!A40)</f>
        <v>06.01</v>
      </c>
      <c r="B40" t="str">
        <f>IF(ACTIVIDADES!B40="","",ACTIVIDADES!B40)</f>
        <v>CELEC - ORIENTE</v>
      </c>
      <c r="C40" t="str">
        <f>IF(ACTIVIDADES!C40="","",ACTIVIDADES!C40)</f>
        <v>Informe</v>
      </c>
      <c r="D40" t="str">
        <f>IF(ACTIVIDADES!D40="","",ACTIVIDADES!D40)</f>
        <v>Solicitar y entregar informe mensual</v>
      </c>
      <c r="E40" t="str">
        <f>IF(ACTIVIDADES!E40="","",ACTIVIDADES!E40)</f>
        <v/>
      </c>
      <c r="F40" s="1" t="str">
        <f>IF(ACTIVIDADES!H40="","",ACTIVIDADES!H40)</f>
        <v/>
      </c>
      <c r="G40" s="1" t="str">
        <f>IF(ACTIVIDADES!I40="","",ACTIVIDADES!I40)</f>
        <v/>
      </c>
      <c r="H40" t="str">
        <f t="shared" si="1"/>
        <v/>
      </c>
      <c r="I40" t="str">
        <f>ACTIVIDADES!K40</f>
        <v>Pendiente</v>
      </c>
      <c r="J40" s="4">
        <f>ACTIVIDADES!M40</f>
        <v>0</v>
      </c>
      <c r="K40" t="str">
        <f>ACTIVIDADES!O40</f>
        <v>Sin fecha</v>
      </c>
      <c r="L40" t="str">
        <f>ACTIVIDADES!P40</f>
        <v>PENDIENTE: completar fechas y responsable</v>
      </c>
    </row>
    <row r="41" spans="1:12">
      <c r="A41" t="str">
        <f>IF(ACTIVIDADES!A41="","",ACTIVIDADES!A41)</f>
        <v>06.02</v>
      </c>
      <c r="B41" t="str">
        <f>IF(ACTIVIDADES!B41="","",ACTIVIDADES!B41)</f>
        <v>CELEC - ORIENTE</v>
      </c>
      <c r="C41" t="str">
        <f>IF(ACTIVIDADES!C41="","",ACTIVIDADES!C41)</f>
        <v>Abastecimiento</v>
      </c>
      <c r="D41" t="str">
        <f>IF(ACTIVIDADES!D41="","",ACTIVIDADES!D41)</f>
        <v>Solicitar requerimientos de insumos</v>
      </c>
      <c r="E41" t="str">
        <f>IF(ACTIVIDADES!E41="","",ACTIVIDADES!E41)</f>
        <v/>
      </c>
      <c r="F41" s="1" t="str">
        <f>IF(ACTIVIDADES!H41="","",ACTIVIDADES!H41)</f>
        <v/>
      </c>
      <c r="G41" s="1" t="str">
        <f>IF(ACTIVIDADES!I41="","",ACTIVIDADES!I41)</f>
        <v/>
      </c>
      <c r="H41" t="str">
        <f t="shared" si="1"/>
        <v/>
      </c>
      <c r="I41" t="str">
        <f>ACTIVIDADES!K41</f>
        <v>Pendiente</v>
      </c>
      <c r="J41" s="4">
        <f>ACTIVIDADES!M41</f>
        <v>0</v>
      </c>
      <c r="K41" t="str">
        <f>ACTIVIDADES!O41</f>
        <v>Sin fecha</v>
      </c>
      <c r="L41" t="str">
        <f>ACTIVIDADES!P41</f>
        <v>PENDIENTE: completar fechas y responsable</v>
      </c>
    </row>
    <row r="42" spans="1:12">
      <c r="A42" t="str">
        <f>IF(ACTIVIDADES!A42="","",ACTIVIDADES!A42)</f>
        <v>06.03</v>
      </c>
      <c r="B42" t="str">
        <f>IF(ACTIVIDADES!B42="","",ACTIVIDADES!B42)</f>
        <v>CELEC - ORIENTE</v>
      </c>
      <c r="C42" t="str">
        <f>IF(ACTIVIDADES!C42="","",ACTIVIDADES!C42)</f>
        <v>Corte</v>
      </c>
      <c r="D42" t="str">
        <f>IF(ACTIVIDADES!D42="","",ACTIVIDADES!D42)</f>
        <v>Preparar y entregar corte del día 5</v>
      </c>
      <c r="E42" t="str">
        <f>IF(ACTIVIDADES!E42="","",ACTIVIDADES!E42)</f>
        <v/>
      </c>
      <c r="F42" s="1">
        <f>IF(ACTIVIDADES!H42="","",ACTIVIDADES!H42)</f>
        <v>46300</v>
      </c>
      <c r="G42" s="1">
        <f>IF(ACTIVIDADES!I42="","",ACTIVIDADES!I42)</f>
        <v>46300</v>
      </c>
      <c r="H42">
        <f t="shared" si="1"/>
        <v>1</v>
      </c>
      <c r="I42" t="str">
        <f>ACTIVIDADES!K42</f>
        <v>Cerrado</v>
      </c>
      <c r="J42" s="4">
        <f>ACTIVIDADES!M42</f>
        <v>1</v>
      </c>
      <c r="K42" t="str">
        <f>ACTIVIDADES!O42</f>
        <v>Completado</v>
      </c>
      <c r="L42" t="str">
        <f>ACTIVIDADES!P42</f>
        <v>Corte fijo mensual; confirmar responsable</v>
      </c>
    </row>
    <row r="43" spans="1:12">
      <c r="A43" t="str">
        <f>IF(ACTIVIDADES!A43="","",ACTIVIDADES!A43)</f>
        <v>06.04</v>
      </c>
      <c r="B43" t="str">
        <f>IF(ACTIVIDADES!B43="","",ACTIVIDADES!B43)</f>
        <v>CELEC - ORIENTE</v>
      </c>
      <c r="C43" t="str">
        <f>IF(ACTIVIDADES!C43="","",ACTIVIDADES!C43)</f>
        <v>Corte</v>
      </c>
      <c r="D43" t="str">
        <f>IF(ACTIVIDADES!D43="","",ACTIVIDADES!D43)</f>
        <v>Preparar y entregar corte del día 10</v>
      </c>
      <c r="E43" t="str">
        <f>IF(ACTIVIDADES!E43="","",ACTIVIDADES!E43)</f>
        <v/>
      </c>
      <c r="F43" s="1">
        <f>IF(ACTIVIDADES!H43="","",ACTIVIDADES!H43)</f>
        <v>46305</v>
      </c>
      <c r="G43" s="1">
        <f>IF(ACTIVIDADES!I43="","",ACTIVIDADES!I43)</f>
        <v>46305</v>
      </c>
      <c r="H43">
        <f t="shared" si="1"/>
        <v>1</v>
      </c>
      <c r="I43" t="str">
        <f>ACTIVIDADES!K43</f>
        <v>Cerrado</v>
      </c>
      <c r="J43" s="4">
        <f>ACTIVIDADES!M43</f>
        <v>1</v>
      </c>
      <c r="K43" t="str">
        <f>ACTIVIDADES!O43</f>
        <v>Completado</v>
      </c>
      <c r="L43" t="str">
        <f>ACTIVIDADES!P43</f>
        <v>Corte fijo mensual; confirmar responsable</v>
      </c>
    </row>
    <row r="44" spans="1:12">
      <c r="A44" t="str">
        <f>IF(ACTIVIDADES!A44="","",ACTIVIDADES!A44)</f>
        <v>06.05</v>
      </c>
      <c r="B44" t="str">
        <f>IF(ACTIVIDADES!B44="","",ACTIVIDADES!B44)</f>
        <v>CELEC - ORIENTE</v>
      </c>
      <c r="C44" t="str">
        <f>IF(ACTIVIDADES!C44="","",ACTIVIDADES!C44)</f>
        <v>Corte</v>
      </c>
      <c r="D44" t="str">
        <f>IF(ACTIVIDADES!D44="","",ACTIVIDADES!D44)</f>
        <v>Preparar y entregar corte del día 20</v>
      </c>
      <c r="E44" t="str">
        <f>IF(ACTIVIDADES!E44="","",ACTIVIDADES!E44)</f>
        <v/>
      </c>
      <c r="F44" s="1">
        <f>IF(ACTIVIDADES!H44="","",ACTIVIDADES!H44)</f>
        <v>46315</v>
      </c>
      <c r="G44" s="1">
        <f>IF(ACTIVIDADES!I44="","",ACTIVIDADES!I44)</f>
        <v>46315</v>
      </c>
      <c r="H44">
        <f t="shared" si="1"/>
        <v>1</v>
      </c>
      <c r="I44" t="str">
        <f>ACTIVIDADES!K44</f>
        <v>Pendiente</v>
      </c>
      <c r="J44" s="4">
        <f>ACTIVIDADES!M44</f>
        <v>0</v>
      </c>
      <c r="K44" t="str">
        <f ca="1">ACTIVIDADES!O44</f>
        <v>En plazo</v>
      </c>
      <c r="L44" t="str">
        <f>ACTIVIDADES!P44</f>
        <v>Corte fijo mensual; confirmar responsable</v>
      </c>
    </row>
    <row r="45" spans="1:12">
      <c r="A45" t="str">
        <f>IF(ACTIVIDADES!A45="","",ACTIVIDADES!A45)</f>
        <v>06.06</v>
      </c>
      <c r="B45" t="str">
        <f>IF(ACTIVIDADES!B45="","",ACTIVIDADES!B45)</f>
        <v>CELEC - ORIENTE</v>
      </c>
      <c r="C45" t="str">
        <f>IF(ACTIVIDADES!C45="","",ACTIVIDADES!C45)</f>
        <v>Corte</v>
      </c>
      <c r="D45" t="str">
        <f>IF(ACTIVIDADES!D45="","",ACTIVIDADES!D45)</f>
        <v>Preparar y entregar corte del día 26</v>
      </c>
      <c r="E45" t="str">
        <f>IF(ACTIVIDADES!E45="","",ACTIVIDADES!E45)</f>
        <v/>
      </c>
      <c r="F45" s="1">
        <f>IF(ACTIVIDADES!H45="","",ACTIVIDADES!H45)</f>
        <v>46321</v>
      </c>
      <c r="G45" s="1">
        <f>IF(ACTIVIDADES!I45="","",ACTIVIDADES!I45)</f>
        <v>46321</v>
      </c>
      <c r="H45">
        <f t="shared" si="1"/>
        <v>1</v>
      </c>
      <c r="I45" t="str">
        <f>ACTIVIDADES!K45</f>
        <v>Pendiente</v>
      </c>
      <c r="J45" s="4">
        <f>ACTIVIDADES!M45</f>
        <v>0</v>
      </c>
      <c r="K45" t="str">
        <f ca="1">ACTIVIDADES!O45</f>
        <v>En plazo</v>
      </c>
      <c r="L45" t="str">
        <f>ACTIVIDADES!P45</f>
        <v>Corte fijo mensual; confirmar responsable</v>
      </c>
    </row>
    <row r="46" spans="1:12">
      <c r="A46" t="str">
        <f>IF(ACTIVIDADES!A46="","",ACTIVIDADES!A46)</f>
        <v>06.07</v>
      </c>
      <c r="B46" t="str">
        <f>IF(ACTIVIDADES!B46="","",ACTIVIDADES!B46)</f>
        <v>CELEC - ORIENTE</v>
      </c>
      <c r="C46" t="str">
        <f>IF(ACTIVIDADES!C46="","",ACTIVIDADES!C46)</f>
        <v>Corte</v>
      </c>
      <c r="D46" t="str">
        <f>IF(ACTIVIDADES!D46="","",ACTIVIDADES!D46)</f>
        <v>Preparar y entregar corte del día 30</v>
      </c>
      <c r="E46" t="str">
        <f>IF(ACTIVIDADES!E46="","",ACTIVIDADES!E46)</f>
        <v/>
      </c>
      <c r="F46" s="1">
        <f>IF(ACTIVIDADES!H46="","",ACTIVIDADES!H46)</f>
        <v>46325</v>
      </c>
      <c r="G46" s="1">
        <f>IF(ACTIVIDADES!I46="","",ACTIVIDADES!I46)</f>
        <v>46325</v>
      </c>
      <c r="H46">
        <f t="shared" si="1"/>
        <v>1</v>
      </c>
      <c r="I46" t="str">
        <f>ACTIVIDADES!K46</f>
        <v>Pendiente</v>
      </c>
      <c r="J46" s="4">
        <f>ACTIVIDADES!M46</f>
        <v>0</v>
      </c>
      <c r="K46" t="str">
        <f ca="1">ACTIVIDADES!O46</f>
        <v>En plazo</v>
      </c>
      <c r="L46" t="str">
        <f>ACTIVIDADES!P46</f>
        <v>Corte fijo mensual; confirmar responsable</v>
      </c>
    </row>
    <row r="47" spans="1:12">
      <c r="A47" t="str">
        <f>IF(ACTIVIDADES!A47="","",ACTIVIDADES!A47)</f>
        <v>07.01</v>
      </c>
      <c r="B47" t="str">
        <f>IF(ACTIVIDADES!B47="","",ACTIVIDADES!B47)</f>
        <v>CELEC - GUAYAQUIL</v>
      </c>
      <c r="C47" t="str">
        <f>IF(ACTIVIDADES!C47="","",ACTIVIDADES!C47)</f>
        <v>Informe</v>
      </c>
      <c r="D47" t="str">
        <f>IF(ACTIVIDADES!D47="","",ACTIVIDADES!D47)</f>
        <v>Solicitar y entregar informe mensual</v>
      </c>
      <c r="E47" t="str">
        <f>IF(ACTIVIDADES!E47="","",ACTIVIDADES!E47)</f>
        <v/>
      </c>
      <c r="F47" s="1" t="str">
        <f>IF(ACTIVIDADES!H47="","",ACTIVIDADES!H47)</f>
        <v/>
      </c>
      <c r="G47" s="1" t="str">
        <f>IF(ACTIVIDADES!I47="","",ACTIVIDADES!I47)</f>
        <v/>
      </c>
      <c r="H47" t="str">
        <f t="shared" si="1"/>
        <v/>
      </c>
      <c r="I47" t="str">
        <f>ACTIVIDADES!K47</f>
        <v>Pendiente</v>
      </c>
      <c r="J47" s="4">
        <f>ACTIVIDADES!M47</f>
        <v>0</v>
      </c>
      <c r="K47" t="str">
        <f>ACTIVIDADES!O47</f>
        <v>Sin fecha</v>
      </c>
      <c r="L47" t="str">
        <f>ACTIVIDADES!P47</f>
        <v>PENDIENTE: completar fechas y responsable</v>
      </c>
    </row>
    <row r="48" spans="1:12">
      <c r="A48" t="str">
        <f>IF(ACTIVIDADES!A48="","",ACTIVIDADES!A48)</f>
        <v>07.02</v>
      </c>
      <c r="B48" t="str">
        <f>IF(ACTIVIDADES!B48="","",ACTIVIDADES!B48)</f>
        <v>CELEC - GUAYAQUIL</v>
      </c>
      <c r="C48" t="str">
        <f>IF(ACTIVIDADES!C48="","",ACTIVIDADES!C48)</f>
        <v>Abastecimiento</v>
      </c>
      <c r="D48" t="str">
        <f>IF(ACTIVIDADES!D48="","",ACTIVIDADES!D48)</f>
        <v>Solicitar requerimientos de insumos</v>
      </c>
      <c r="E48" t="str">
        <f>IF(ACTIVIDADES!E48="","",ACTIVIDADES!E48)</f>
        <v/>
      </c>
      <c r="F48" s="1" t="str">
        <f>IF(ACTIVIDADES!H48="","",ACTIVIDADES!H48)</f>
        <v/>
      </c>
      <c r="G48" s="1" t="str">
        <f>IF(ACTIVIDADES!I48="","",ACTIVIDADES!I48)</f>
        <v/>
      </c>
      <c r="H48" t="str">
        <f t="shared" si="1"/>
        <v/>
      </c>
      <c r="I48" t="str">
        <f>ACTIVIDADES!K48</f>
        <v>Pendiente</v>
      </c>
      <c r="J48" s="4">
        <f>ACTIVIDADES!M48</f>
        <v>0</v>
      </c>
      <c r="K48" t="str">
        <f>ACTIVIDADES!O48</f>
        <v>Sin fecha</v>
      </c>
      <c r="L48" t="str">
        <f>ACTIVIDADES!P48</f>
        <v>PENDIENTE: completar fechas y responsable</v>
      </c>
    </row>
    <row r="49" spans="1:12">
      <c r="A49" t="str">
        <f>IF(ACTIVIDADES!A49="","",ACTIVIDADES!A49)</f>
        <v>07.03</v>
      </c>
      <c r="B49" t="str">
        <f>IF(ACTIVIDADES!B49="","",ACTIVIDADES!B49)</f>
        <v>CELEC - GUAYAQUIL</v>
      </c>
      <c r="C49" t="str">
        <f>IF(ACTIVIDADES!C49="","",ACTIVIDADES!C49)</f>
        <v>Corte</v>
      </c>
      <c r="D49" t="str">
        <f>IF(ACTIVIDADES!D49="","",ACTIVIDADES!D49)</f>
        <v>Preparar y entregar corte del día 5</v>
      </c>
      <c r="E49" t="str">
        <f>IF(ACTIVIDADES!E49="","",ACTIVIDADES!E49)</f>
        <v/>
      </c>
      <c r="F49" s="1">
        <f>IF(ACTIVIDADES!H49="","",ACTIVIDADES!H49)</f>
        <v>46300</v>
      </c>
      <c r="G49" s="1">
        <f>IF(ACTIVIDADES!I49="","",ACTIVIDADES!I49)</f>
        <v>46300</v>
      </c>
      <c r="H49">
        <f t="shared" si="1"/>
        <v>1</v>
      </c>
      <c r="I49" t="str">
        <f>ACTIVIDADES!K49</f>
        <v>Cerrado</v>
      </c>
      <c r="J49" s="4">
        <f>ACTIVIDADES!M49</f>
        <v>1</v>
      </c>
      <c r="K49" t="str">
        <f>ACTIVIDADES!O49</f>
        <v>Completado</v>
      </c>
      <c r="L49" t="str">
        <f>ACTIVIDADES!P49</f>
        <v>Corte fijo mensual; confirmar responsable</v>
      </c>
    </row>
    <row r="50" spans="1:12">
      <c r="A50" t="str">
        <f>IF(ACTIVIDADES!A50="","",ACTIVIDADES!A50)</f>
        <v>07.04</v>
      </c>
      <c r="B50" t="str">
        <f>IF(ACTIVIDADES!B50="","",ACTIVIDADES!B50)</f>
        <v>CELEC - GUAYAQUIL</v>
      </c>
      <c r="C50" t="str">
        <f>IF(ACTIVIDADES!C50="","",ACTIVIDADES!C50)</f>
        <v>Corte</v>
      </c>
      <c r="D50" t="str">
        <f>IF(ACTIVIDADES!D50="","",ACTIVIDADES!D50)</f>
        <v>Preparar y entregar corte del día 10</v>
      </c>
      <c r="E50" t="str">
        <f>IF(ACTIVIDADES!E50="","",ACTIVIDADES!E50)</f>
        <v/>
      </c>
      <c r="F50" s="1">
        <f>IF(ACTIVIDADES!H50="","",ACTIVIDADES!H50)</f>
        <v>46305</v>
      </c>
      <c r="G50" s="1">
        <f>IF(ACTIVIDADES!I50="","",ACTIVIDADES!I50)</f>
        <v>46305</v>
      </c>
      <c r="H50">
        <f t="shared" si="1"/>
        <v>1</v>
      </c>
      <c r="I50" t="str">
        <f>ACTIVIDADES!K50</f>
        <v>Cerrado</v>
      </c>
      <c r="J50" s="4">
        <f>ACTIVIDADES!M50</f>
        <v>1</v>
      </c>
      <c r="K50" t="str">
        <f>ACTIVIDADES!O50</f>
        <v>Completado</v>
      </c>
      <c r="L50" t="str">
        <f>ACTIVIDADES!P50</f>
        <v>Corte fijo mensual; confirmar responsable</v>
      </c>
    </row>
    <row r="51" spans="1:12">
      <c r="A51" t="str">
        <f>IF(ACTIVIDADES!A51="","",ACTIVIDADES!A51)</f>
        <v>07.05</v>
      </c>
      <c r="B51" t="str">
        <f>IF(ACTIVIDADES!B51="","",ACTIVIDADES!B51)</f>
        <v>CELEC - GUAYAQUIL</v>
      </c>
      <c r="C51" t="str">
        <f>IF(ACTIVIDADES!C51="","",ACTIVIDADES!C51)</f>
        <v>Corte</v>
      </c>
      <c r="D51" t="str">
        <f>IF(ACTIVIDADES!D51="","",ACTIVIDADES!D51)</f>
        <v>Preparar y entregar corte del día 20</v>
      </c>
      <c r="E51" t="str">
        <f>IF(ACTIVIDADES!E51="","",ACTIVIDADES!E51)</f>
        <v/>
      </c>
      <c r="F51" s="1">
        <f>IF(ACTIVIDADES!H51="","",ACTIVIDADES!H51)</f>
        <v>46315</v>
      </c>
      <c r="G51" s="1">
        <f>IF(ACTIVIDADES!I51="","",ACTIVIDADES!I51)</f>
        <v>46315</v>
      </c>
      <c r="H51">
        <f t="shared" si="1"/>
        <v>1</v>
      </c>
      <c r="I51" t="str">
        <f>ACTIVIDADES!K51</f>
        <v>Pendiente</v>
      </c>
      <c r="J51" s="4">
        <f>ACTIVIDADES!M51</f>
        <v>0</v>
      </c>
      <c r="K51" t="str">
        <f ca="1">ACTIVIDADES!O51</f>
        <v>En plazo</v>
      </c>
      <c r="L51" t="str">
        <f>ACTIVIDADES!P51</f>
        <v>Corte fijo mensual; confirmar responsable</v>
      </c>
    </row>
    <row r="52" spans="1:12">
      <c r="A52" t="str">
        <f>IF(ACTIVIDADES!A52="","",ACTIVIDADES!A52)</f>
        <v>07.06</v>
      </c>
      <c r="B52" t="str">
        <f>IF(ACTIVIDADES!B52="","",ACTIVIDADES!B52)</f>
        <v>CELEC - GUAYAQUIL</v>
      </c>
      <c r="C52" t="str">
        <f>IF(ACTIVIDADES!C52="","",ACTIVIDADES!C52)</f>
        <v>Corte</v>
      </c>
      <c r="D52" t="str">
        <f>IF(ACTIVIDADES!D52="","",ACTIVIDADES!D52)</f>
        <v>Preparar y entregar corte del día 26</v>
      </c>
      <c r="E52" t="str">
        <f>IF(ACTIVIDADES!E52="","",ACTIVIDADES!E52)</f>
        <v/>
      </c>
      <c r="F52" s="1">
        <f>IF(ACTIVIDADES!H52="","",ACTIVIDADES!H52)</f>
        <v>46321</v>
      </c>
      <c r="G52" s="1">
        <f>IF(ACTIVIDADES!I52="","",ACTIVIDADES!I52)</f>
        <v>46321</v>
      </c>
      <c r="H52">
        <f t="shared" si="1"/>
        <v>1</v>
      </c>
      <c r="I52" t="str">
        <f>ACTIVIDADES!K52</f>
        <v>Pendiente</v>
      </c>
      <c r="J52" s="4">
        <f>ACTIVIDADES!M52</f>
        <v>0</v>
      </c>
      <c r="K52" t="str">
        <f ca="1">ACTIVIDADES!O52</f>
        <v>En plazo</v>
      </c>
      <c r="L52" t="str">
        <f>ACTIVIDADES!P52</f>
        <v>Corte fijo mensual; confirmar responsable</v>
      </c>
    </row>
    <row r="53" spans="1:12">
      <c r="A53" t="str">
        <f>IF(ACTIVIDADES!A53="","",ACTIVIDADES!A53)</f>
        <v>07.07</v>
      </c>
      <c r="B53" t="str">
        <f>IF(ACTIVIDADES!B53="","",ACTIVIDADES!B53)</f>
        <v>CELEC - GUAYAQUIL</v>
      </c>
      <c r="C53" t="str">
        <f>IF(ACTIVIDADES!C53="","",ACTIVIDADES!C53)</f>
        <v>Corte</v>
      </c>
      <c r="D53" t="str">
        <f>IF(ACTIVIDADES!D53="","",ACTIVIDADES!D53)</f>
        <v>Preparar y entregar corte del día 30</v>
      </c>
      <c r="E53" t="str">
        <f>IF(ACTIVIDADES!E53="","",ACTIVIDADES!E53)</f>
        <v/>
      </c>
      <c r="F53" s="1">
        <f>IF(ACTIVIDADES!H53="","",ACTIVIDADES!H53)</f>
        <v>46325</v>
      </c>
      <c r="G53" s="1">
        <f>IF(ACTIVIDADES!I53="","",ACTIVIDADES!I53)</f>
        <v>46325</v>
      </c>
      <c r="H53">
        <f t="shared" si="1"/>
        <v>1</v>
      </c>
      <c r="I53" t="str">
        <f>ACTIVIDADES!K53</f>
        <v>Pendiente</v>
      </c>
      <c r="J53" s="4">
        <f>ACTIVIDADES!M53</f>
        <v>0</v>
      </c>
      <c r="K53" t="str">
        <f ca="1">ACTIVIDADES!O53</f>
        <v>En plazo</v>
      </c>
      <c r="L53" t="str">
        <f>ACTIVIDADES!P53</f>
        <v>Corte fijo mensual; confirmar responsable</v>
      </c>
    </row>
    <row r="54" spans="1:12">
      <c r="A54" t="str">
        <f>IF(ACTIVIDADES!A54="","",ACTIVIDADES!A54)</f>
        <v>08.01</v>
      </c>
      <c r="B54" t="str">
        <f>IF(ACTIVIDADES!B54="","",ACTIVIDADES!B54)</f>
        <v>MSP</v>
      </c>
      <c r="C54" t="str">
        <f>IF(ACTIVIDADES!C54="","",ACTIVIDADES!C54)</f>
        <v>Informe</v>
      </c>
      <c r="D54" t="str">
        <f>IF(ACTIVIDADES!D54="","",ACTIVIDADES!D54)</f>
        <v>Solicitar y entregar informe mensual</v>
      </c>
      <c r="E54" t="str">
        <f>IF(ACTIVIDADES!E54="","",ACTIVIDADES!E54)</f>
        <v>EDDY VELEZ</v>
      </c>
      <c r="F54" s="1">
        <f>IF(ACTIVIDADES!H54="","",ACTIVIDADES!H54)</f>
        <v>46306</v>
      </c>
      <c r="G54" s="1">
        <f>IF(ACTIVIDADES!I54="","",ACTIVIDADES!I54)</f>
        <v>46308</v>
      </c>
      <c r="H54">
        <f t="shared" si="1"/>
        <v>3</v>
      </c>
      <c r="I54" t="str">
        <f>ACTIVIDADES!K54</f>
        <v>Pendiente</v>
      </c>
      <c r="J54" s="4">
        <f>ACTIVIDADES!M54</f>
        <v>0</v>
      </c>
      <c r="K54" t="str">
        <f ca="1">ACTIVIDADES!O54</f>
        <v>Vencido</v>
      </c>
      <c r="L54" t="str">
        <f>ACTIVIDADES!P54</f>
        <v>Fechas del cronograma de informes de agosto 2026</v>
      </c>
    </row>
    <row r="55" spans="1:12">
      <c r="A55" t="str">
        <f>IF(ACTIVIDADES!A55="","",ACTIVIDADES!A55)</f>
        <v>08.02</v>
      </c>
      <c r="B55" t="str">
        <f>IF(ACTIVIDADES!B55="","",ACTIVIDADES!B55)</f>
        <v>MSP</v>
      </c>
      <c r="C55" t="str">
        <f>IF(ACTIVIDADES!C55="","",ACTIVIDADES!C55)</f>
        <v>Abastecimiento</v>
      </c>
      <c r="D55" t="str">
        <f>IF(ACTIVIDADES!D55="","",ACTIVIDADES!D55)</f>
        <v>Solicitar requerimientos de insumos</v>
      </c>
      <c r="E55" t="str">
        <f>IF(ACTIVIDADES!E55="","",ACTIVIDADES!E55)</f>
        <v>EDDY VELEZ</v>
      </c>
      <c r="F55" s="1">
        <f>IF(ACTIVIDADES!H55="","",ACTIVIDADES!H55)</f>
        <v>46319</v>
      </c>
      <c r="G55" s="1">
        <f>IF(ACTIVIDADES!I55="","",ACTIVIDADES!I55)</f>
        <v>46324</v>
      </c>
      <c r="H55">
        <f t="shared" si="1"/>
        <v>6</v>
      </c>
      <c r="I55" t="str">
        <f>ACTIVIDADES!K55</f>
        <v>Pendiente</v>
      </c>
      <c r="J55" s="4">
        <f>ACTIVIDADES!M55</f>
        <v>0</v>
      </c>
      <c r="K55" t="str">
        <f ca="1">ACTIVIDADES!O55</f>
        <v>En plazo</v>
      </c>
      <c r="L55" t="str">
        <f>ACTIVIDADES!P55</f>
        <v>Fechas del cronograma de abastecimiento de septiembre 2026</v>
      </c>
    </row>
    <row r="56" spans="1:12">
      <c r="A56" t="str">
        <f>IF(ACTIVIDADES!A56="","",ACTIVIDADES!A56)</f>
        <v>08.03</v>
      </c>
      <c r="B56" t="str">
        <f>IF(ACTIVIDADES!B56="","",ACTIVIDADES!B56)</f>
        <v>MSP</v>
      </c>
      <c r="C56" t="str">
        <f>IF(ACTIVIDADES!C56="","",ACTIVIDADES!C56)</f>
        <v>Corte</v>
      </c>
      <c r="D56" t="str">
        <f>IF(ACTIVIDADES!D56="","",ACTIVIDADES!D56)</f>
        <v>Preparar y entregar corte del día 5</v>
      </c>
      <c r="E56" t="str">
        <f>IF(ACTIVIDADES!E56="","",ACTIVIDADES!E56)</f>
        <v/>
      </c>
      <c r="F56" s="1">
        <f>IF(ACTIVIDADES!H56="","",ACTIVIDADES!H56)</f>
        <v>46300</v>
      </c>
      <c r="G56" s="1">
        <f>IF(ACTIVIDADES!I56="","",ACTIVIDADES!I56)</f>
        <v>46300</v>
      </c>
      <c r="H56">
        <f t="shared" si="1"/>
        <v>1</v>
      </c>
      <c r="I56" t="str">
        <f>ACTIVIDADES!K56</f>
        <v>Cerrado</v>
      </c>
      <c r="J56" s="4">
        <f>ACTIVIDADES!M56</f>
        <v>1</v>
      </c>
      <c r="K56" t="str">
        <f>ACTIVIDADES!O56</f>
        <v>Completado</v>
      </c>
      <c r="L56" t="str">
        <f>ACTIVIDADES!P56</f>
        <v>Corte fijo mensual; confirmar responsable</v>
      </c>
    </row>
    <row r="57" spans="1:12">
      <c r="A57" t="str">
        <f>IF(ACTIVIDADES!A57="","",ACTIVIDADES!A57)</f>
        <v>08.04</v>
      </c>
      <c r="B57" t="str">
        <f>IF(ACTIVIDADES!B57="","",ACTIVIDADES!B57)</f>
        <v>MSP</v>
      </c>
      <c r="C57" t="str">
        <f>IF(ACTIVIDADES!C57="","",ACTIVIDADES!C57)</f>
        <v>Corte</v>
      </c>
      <c r="D57" t="str">
        <f>IF(ACTIVIDADES!D57="","",ACTIVIDADES!D57)</f>
        <v>Preparar y entregar corte del día 10</v>
      </c>
      <c r="E57" t="str">
        <f>IF(ACTIVIDADES!E57="","",ACTIVIDADES!E57)</f>
        <v/>
      </c>
      <c r="F57" s="1">
        <f>IF(ACTIVIDADES!H57="","",ACTIVIDADES!H57)</f>
        <v>46305</v>
      </c>
      <c r="G57" s="1">
        <f>IF(ACTIVIDADES!I57="","",ACTIVIDADES!I57)</f>
        <v>46305</v>
      </c>
      <c r="H57">
        <f t="shared" si="1"/>
        <v>1</v>
      </c>
      <c r="I57" t="str">
        <f>ACTIVIDADES!K57</f>
        <v>Cerrado</v>
      </c>
      <c r="J57" s="4">
        <f>ACTIVIDADES!M57</f>
        <v>1</v>
      </c>
      <c r="K57" t="str">
        <f>ACTIVIDADES!O57</f>
        <v>Completado</v>
      </c>
      <c r="L57" t="str">
        <f>ACTIVIDADES!P57</f>
        <v>Corte fijo mensual; confirmar responsable</v>
      </c>
    </row>
    <row r="58" spans="1:12">
      <c r="A58" t="str">
        <f>IF(ACTIVIDADES!A58="","",ACTIVIDADES!A58)</f>
        <v>08.05</v>
      </c>
      <c r="B58" t="str">
        <f>IF(ACTIVIDADES!B58="","",ACTIVIDADES!B58)</f>
        <v>MSP</v>
      </c>
      <c r="C58" t="str">
        <f>IF(ACTIVIDADES!C58="","",ACTIVIDADES!C58)</f>
        <v>Corte</v>
      </c>
      <c r="D58" t="str">
        <f>IF(ACTIVIDADES!D58="","",ACTIVIDADES!D58)</f>
        <v>Preparar y entregar corte del día 20</v>
      </c>
      <c r="E58" t="str">
        <f>IF(ACTIVIDADES!E58="","",ACTIVIDADES!E58)</f>
        <v/>
      </c>
      <c r="F58" s="1">
        <f>IF(ACTIVIDADES!H58="","",ACTIVIDADES!H58)</f>
        <v>46315</v>
      </c>
      <c r="G58" s="1">
        <f>IF(ACTIVIDADES!I58="","",ACTIVIDADES!I58)</f>
        <v>46315</v>
      </c>
      <c r="H58">
        <f t="shared" si="1"/>
        <v>1</v>
      </c>
      <c r="I58" t="str">
        <f>ACTIVIDADES!K58</f>
        <v>Pendiente</v>
      </c>
      <c r="J58" s="4">
        <f>ACTIVIDADES!M58</f>
        <v>0</v>
      </c>
      <c r="K58" t="str">
        <f ca="1">ACTIVIDADES!O58</f>
        <v>En plazo</v>
      </c>
      <c r="L58" t="str">
        <f>ACTIVIDADES!P58</f>
        <v>Corte fijo mensual; confirmar responsable</v>
      </c>
    </row>
    <row r="59" spans="1:12">
      <c r="A59" t="str">
        <f>IF(ACTIVIDADES!A59="","",ACTIVIDADES!A59)</f>
        <v>08.06</v>
      </c>
      <c r="B59" t="str">
        <f>IF(ACTIVIDADES!B59="","",ACTIVIDADES!B59)</f>
        <v>MSP</v>
      </c>
      <c r="C59" t="str">
        <f>IF(ACTIVIDADES!C59="","",ACTIVIDADES!C59)</f>
        <v>Corte</v>
      </c>
      <c r="D59" t="str">
        <f>IF(ACTIVIDADES!D59="","",ACTIVIDADES!D59)</f>
        <v>Preparar y entregar corte del día 26</v>
      </c>
      <c r="E59" t="str">
        <f>IF(ACTIVIDADES!E59="","",ACTIVIDADES!E59)</f>
        <v/>
      </c>
      <c r="F59" s="1">
        <f>IF(ACTIVIDADES!H59="","",ACTIVIDADES!H59)</f>
        <v>46321</v>
      </c>
      <c r="G59" s="1">
        <f>IF(ACTIVIDADES!I59="","",ACTIVIDADES!I59)</f>
        <v>46321</v>
      </c>
      <c r="H59">
        <f t="shared" si="1"/>
        <v>1</v>
      </c>
      <c r="I59" t="str">
        <f>ACTIVIDADES!K59</f>
        <v>Pendiente</v>
      </c>
      <c r="J59" s="4">
        <f>ACTIVIDADES!M59</f>
        <v>0</v>
      </c>
      <c r="K59" t="str">
        <f ca="1">ACTIVIDADES!O59</f>
        <v>En plazo</v>
      </c>
      <c r="L59" t="str">
        <f>ACTIVIDADES!P59</f>
        <v>Corte fijo mensual; confirmar responsable</v>
      </c>
    </row>
    <row r="60" spans="1:12">
      <c r="A60" t="str">
        <f>IF(ACTIVIDADES!A60="","",ACTIVIDADES!A60)</f>
        <v>08.07</v>
      </c>
      <c r="B60" t="str">
        <f>IF(ACTIVIDADES!B60="","",ACTIVIDADES!B60)</f>
        <v>MSP</v>
      </c>
      <c r="C60" t="str">
        <f>IF(ACTIVIDADES!C60="","",ACTIVIDADES!C60)</f>
        <v>Corte</v>
      </c>
      <c r="D60" t="str">
        <f>IF(ACTIVIDADES!D60="","",ACTIVIDADES!D60)</f>
        <v>Preparar y entregar corte del día 30</v>
      </c>
      <c r="E60" t="str">
        <f>IF(ACTIVIDADES!E60="","",ACTIVIDADES!E60)</f>
        <v/>
      </c>
      <c r="F60" s="1">
        <f>IF(ACTIVIDADES!H60="","",ACTIVIDADES!H60)</f>
        <v>46325</v>
      </c>
      <c r="G60" s="1">
        <f>IF(ACTIVIDADES!I60="","",ACTIVIDADES!I60)</f>
        <v>46325</v>
      </c>
      <c r="H60">
        <f t="shared" si="1"/>
        <v>1</v>
      </c>
      <c r="I60" t="str">
        <f>ACTIVIDADES!K60</f>
        <v>Pendiente</v>
      </c>
      <c r="J60" s="4">
        <f>ACTIVIDADES!M60</f>
        <v>0</v>
      </c>
      <c r="K60" t="str">
        <f ca="1">ACTIVIDADES!O60</f>
        <v>En plazo</v>
      </c>
      <c r="L60" t="str">
        <f>ACTIVIDADES!P60</f>
        <v>Corte fijo mensual; confirmar responsable</v>
      </c>
    </row>
    <row r="61" spans="1:12">
      <c r="A61" t="str">
        <f>IF(ACTIVIDADES!A61="","",ACTIVIDADES!A61)</f>
        <v>EX.01</v>
      </c>
      <c r="B61" t="str">
        <f>IF(ACTIVIDADES!B61="","",ACTIVIDADES!B61)</f>
        <v/>
      </c>
      <c r="C61" t="str">
        <f>IF(ACTIVIDADES!C61="","",ACTIVIDADES!C61)</f>
        <v>Extraordinaria</v>
      </c>
      <c r="D61" t="str">
        <f>IF(ACTIVIDADES!D61="","",ACTIVIDADES!D61)</f>
        <v/>
      </c>
      <c r="E61" t="str">
        <f>IF(ACTIVIDADES!E61="","",ACTIVIDADES!E61)</f>
        <v/>
      </c>
      <c r="F61" s="1" t="str">
        <f>IF(ACTIVIDADES!H61="","",ACTIVIDADES!H61)</f>
        <v/>
      </c>
      <c r="G61" s="1" t="str">
        <f>IF(ACTIVIDADES!I61="","",ACTIVIDADES!I61)</f>
        <v/>
      </c>
      <c r="H61" t="str">
        <f t="shared" si="1"/>
        <v/>
      </c>
      <c r="I61" t="str">
        <f>ACTIVIDADES!K61</f>
        <v>Pendiente</v>
      </c>
      <c r="J61" s="4">
        <f>ACTIVIDADES!M61</f>
        <v>0</v>
      </c>
      <c r="K61" t="str">
        <f>ACTIVIDADES!O61</f>
        <v>Sin fecha</v>
      </c>
      <c r="L61" t="str">
        <f>ACTIVIDADES!P61</f>
        <v>Registro disponible para nuevas actividades</v>
      </c>
    </row>
    <row r="62" spans="1:12">
      <c r="A62" t="str">
        <f>IF(ACTIVIDADES!A62="","",ACTIVIDADES!A62)</f>
        <v>EX.02</v>
      </c>
      <c r="B62" t="str">
        <f>IF(ACTIVIDADES!B62="","",ACTIVIDADES!B62)</f>
        <v/>
      </c>
      <c r="C62" t="str">
        <f>IF(ACTIVIDADES!C62="","",ACTIVIDADES!C62)</f>
        <v>No planificada</v>
      </c>
      <c r="D62" t="str">
        <f>IF(ACTIVIDADES!D62="","",ACTIVIDADES!D62)</f>
        <v/>
      </c>
      <c r="E62" t="str">
        <f>IF(ACTIVIDADES!E62="","",ACTIVIDADES!E62)</f>
        <v/>
      </c>
      <c r="F62" s="1" t="str">
        <f>IF(ACTIVIDADES!H62="","",ACTIVIDADES!H62)</f>
        <v/>
      </c>
      <c r="G62" s="1" t="str">
        <f>IF(ACTIVIDADES!I62="","",ACTIVIDADES!I62)</f>
        <v/>
      </c>
      <c r="H62" t="str">
        <f t="shared" si="1"/>
        <v/>
      </c>
      <c r="I62" t="str">
        <f>ACTIVIDADES!K62</f>
        <v>Pendiente</v>
      </c>
      <c r="J62" s="4">
        <f>ACTIVIDADES!M62</f>
        <v>0</v>
      </c>
      <c r="K62" t="str">
        <f>ACTIVIDADES!O62</f>
        <v>Sin fecha</v>
      </c>
      <c r="L62" t="str">
        <f>ACTIVIDADES!P62</f>
        <v>Registro disponible para nuevas actividades</v>
      </c>
    </row>
    <row r="63" spans="1:12">
      <c r="A63" t="str">
        <f>IF(ACTIVIDADES!A63="","",ACTIVIDADES!A63)</f>
        <v>EX.03</v>
      </c>
      <c r="B63" t="str">
        <f>IF(ACTIVIDADES!B63="","",ACTIVIDADES!B63)</f>
        <v/>
      </c>
      <c r="C63" t="str">
        <f>IF(ACTIVIDADES!C63="","",ACTIVIDADES!C63)</f>
        <v>Extraordinaria</v>
      </c>
      <c r="D63" t="str">
        <f>IF(ACTIVIDADES!D63="","",ACTIVIDADES!D63)</f>
        <v/>
      </c>
      <c r="E63" t="str">
        <f>IF(ACTIVIDADES!E63="","",ACTIVIDADES!E63)</f>
        <v/>
      </c>
      <c r="F63" s="1" t="str">
        <f>IF(ACTIVIDADES!H63="","",ACTIVIDADES!H63)</f>
        <v/>
      </c>
      <c r="G63" s="1" t="str">
        <f>IF(ACTIVIDADES!I63="","",ACTIVIDADES!I63)</f>
        <v/>
      </c>
      <c r="H63" t="str">
        <f t="shared" si="1"/>
        <v/>
      </c>
      <c r="I63" t="str">
        <f>ACTIVIDADES!K63</f>
        <v>Pendiente</v>
      </c>
      <c r="J63" s="4">
        <f>ACTIVIDADES!M63</f>
        <v>0</v>
      </c>
      <c r="K63" t="str">
        <f>ACTIVIDADES!O63</f>
        <v>Sin fecha</v>
      </c>
      <c r="L63" t="str">
        <f>ACTIVIDADES!P63</f>
        <v>Registro disponible para nuevas actividades</v>
      </c>
    </row>
    <row r="64" spans="1:12">
      <c r="A64" t="str">
        <f>IF(ACTIVIDADES!A64="","",ACTIVIDADES!A64)</f>
        <v>EX.04</v>
      </c>
      <c r="B64" t="str">
        <f>IF(ACTIVIDADES!B64="","",ACTIVIDADES!B64)</f>
        <v/>
      </c>
      <c r="C64" t="str">
        <f>IF(ACTIVIDADES!C64="","",ACTIVIDADES!C64)</f>
        <v>No planificada</v>
      </c>
      <c r="D64" t="str">
        <f>IF(ACTIVIDADES!D64="","",ACTIVIDADES!D64)</f>
        <v/>
      </c>
      <c r="E64" t="str">
        <f>IF(ACTIVIDADES!E64="","",ACTIVIDADES!E64)</f>
        <v/>
      </c>
      <c r="F64" s="1" t="str">
        <f>IF(ACTIVIDADES!H64="","",ACTIVIDADES!H64)</f>
        <v/>
      </c>
      <c r="G64" s="1" t="str">
        <f>IF(ACTIVIDADES!I64="","",ACTIVIDADES!I64)</f>
        <v/>
      </c>
      <c r="H64" t="str">
        <f t="shared" si="1"/>
        <v/>
      </c>
      <c r="I64" t="str">
        <f>ACTIVIDADES!K64</f>
        <v>Pendiente</v>
      </c>
      <c r="J64" s="4">
        <f>ACTIVIDADES!M64</f>
        <v>0</v>
      </c>
      <c r="K64" t="str">
        <f>ACTIVIDADES!O64</f>
        <v>Sin fecha</v>
      </c>
      <c r="L64" t="str">
        <f>ACTIVIDADES!P64</f>
        <v>Registro disponible para nuevas actividades</v>
      </c>
    </row>
    <row r="65" spans="1:12">
      <c r="A65" t="str">
        <f>IF(ACTIVIDADES!A65="","",ACTIVIDADES!A65)</f>
        <v>EX.05</v>
      </c>
      <c r="B65" t="str">
        <f>IF(ACTIVIDADES!B65="","",ACTIVIDADES!B65)</f>
        <v/>
      </c>
      <c r="C65" t="str">
        <f>IF(ACTIVIDADES!C65="","",ACTIVIDADES!C65)</f>
        <v>Extraordinaria</v>
      </c>
      <c r="D65" t="str">
        <f>IF(ACTIVIDADES!D65="","",ACTIVIDADES!D65)</f>
        <v/>
      </c>
      <c r="E65" t="str">
        <f>IF(ACTIVIDADES!E65="","",ACTIVIDADES!E65)</f>
        <v/>
      </c>
      <c r="F65" s="1" t="str">
        <f>IF(ACTIVIDADES!H65="","",ACTIVIDADES!H65)</f>
        <v/>
      </c>
      <c r="G65" s="1" t="str">
        <f>IF(ACTIVIDADES!I65="","",ACTIVIDADES!I65)</f>
        <v/>
      </c>
      <c r="H65" t="str">
        <f t="shared" si="1"/>
        <v/>
      </c>
      <c r="I65" t="str">
        <f>ACTIVIDADES!K65</f>
        <v>Pendiente</v>
      </c>
      <c r="J65" s="4">
        <f>ACTIVIDADES!M65</f>
        <v>0</v>
      </c>
      <c r="K65" t="str">
        <f>ACTIVIDADES!O65</f>
        <v>Sin fecha</v>
      </c>
      <c r="L65" t="str">
        <f>ACTIVIDADES!P65</f>
        <v>Registro disponible para nuevas actividades</v>
      </c>
    </row>
    <row r="66" spans="1:12">
      <c r="A66" t="str">
        <f>IF(ACTIVIDADES!A66="","",ACTIVIDADES!A66)</f>
        <v>EX.06</v>
      </c>
      <c r="B66" t="str">
        <f>IF(ACTIVIDADES!B66="","",ACTIVIDADES!B66)</f>
        <v/>
      </c>
      <c r="C66" t="str">
        <f>IF(ACTIVIDADES!C66="","",ACTIVIDADES!C66)</f>
        <v>No planificada</v>
      </c>
      <c r="D66" t="str">
        <f>IF(ACTIVIDADES!D66="","",ACTIVIDADES!D66)</f>
        <v/>
      </c>
      <c r="E66" t="str">
        <f>IF(ACTIVIDADES!E66="","",ACTIVIDADES!E66)</f>
        <v/>
      </c>
      <c r="F66" s="1" t="str">
        <f>IF(ACTIVIDADES!H66="","",ACTIVIDADES!H66)</f>
        <v/>
      </c>
      <c r="G66" s="1" t="str">
        <f>IF(ACTIVIDADES!I66="","",ACTIVIDADES!I66)</f>
        <v/>
      </c>
      <c r="H66" t="str">
        <f t="shared" si="1"/>
        <v/>
      </c>
      <c r="I66" t="str">
        <f>ACTIVIDADES!K66</f>
        <v>Pendiente</v>
      </c>
      <c r="J66" s="4">
        <f>ACTIVIDADES!M66</f>
        <v>0</v>
      </c>
      <c r="K66" t="str">
        <f>ACTIVIDADES!O66</f>
        <v>Sin fecha</v>
      </c>
      <c r="L66" t="str">
        <f>ACTIVIDADES!P66</f>
        <v>Registro disponible para nuevas actividades</v>
      </c>
    </row>
    <row r="67" spans="1:12">
      <c r="A67" t="str">
        <f>IF(ACTIVIDADES!A67="","",ACTIVIDADES!A67)</f>
        <v>EX.07</v>
      </c>
      <c r="B67" t="str">
        <f>IF(ACTIVIDADES!B67="","",ACTIVIDADES!B67)</f>
        <v/>
      </c>
      <c r="C67" t="str">
        <f>IF(ACTIVIDADES!C67="","",ACTIVIDADES!C67)</f>
        <v>Extraordinaria</v>
      </c>
      <c r="D67" t="str">
        <f>IF(ACTIVIDADES!D67="","",ACTIVIDADES!D67)</f>
        <v/>
      </c>
      <c r="E67" t="str">
        <f>IF(ACTIVIDADES!E67="","",ACTIVIDADES!E67)</f>
        <v/>
      </c>
      <c r="F67" s="1" t="str">
        <f>IF(ACTIVIDADES!H67="","",ACTIVIDADES!H67)</f>
        <v/>
      </c>
      <c r="G67" s="1" t="str">
        <f>IF(ACTIVIDADES!I67="","",ACTIVIDADES!I67)</f>
        <v/>
      </c>
      <c r="H67" t="str">
        <f t="shared" si="1"/>
        <v/>
      </c>
      <c r="I67" t="str">
        <f>ACTIVIDADES!K67</f>
        <v>Pendiente</v>
      </c>
      <c r="J67" s="4">
        <f>ACTIVIDADES!M67</f>
        <v>0</v>
      </c>
      <c r="K67" t="str">
        <f>ACTIVIDADES!O67</f>
        <v>Sin fecha</v>
      </c>
      <c r="L67" t="str">
        <f>ACTIVIDADES!P67</f>
        <v>Registro disponible para nuevas actividades</v>
      </c>
    </row>
    <row r="68" spans="1:12">
      <c r="A68" t="str">
        <f>IF(ACTIVIDADES!A68="","",ACTIVIDADES!A68)</f>
        <v>EX.08</v>
      </c>
      <c r="B68" t="str">
        <f>IF(ACTIVIDADES!B68="","",ACTIVIDADES!B68)</f>
        <v/>
      </c>
      <c r="C68" t="str">
        <f>IF(ACTIVIDADES!C68="","",ACTIVIDADES!C68)</f>
        <v>No planificada</v>
      </c>
      <c r="D68" t="str">
        <f>IF(ACTIVIDADES!D68="","",ACTIVIDADES!D68)</f>
        <v/>
      </c>
      <c r="E68" t="str">
        <f>IF(ACTIVIDADES!E68="","",ACTIVIDADES!E68)</f>
        <v/>
      </c>
      <c r="F68" s="1" t="str">
        <f>IF(ACTIVIDADES!H68="","",ACTIVIDADES!H68)</f>
        <v/>
      </c>
      <c r="G68" s="1" t="str">
        <f>IF(ACTIVIDADES!I68="","",ACTIVIDADES!I68)</f>
        <v/>
      </c>
      <c r="H68" t="str">
        <f t="shared" si="1"/>
        <v/>
      </c>
      <c r="I68" t="str">
        <f>ACTIVIDADES!K68</f>
        <v>Pendiente</v>
      </c>
      <c r="J68" s="4">
        <f>ACTIVIDADES!M68</f>
        <v>0</v>
      </c>
      <c r="K68" t="str">
        <f>ACTIVIDADES!O68</f>
        <v>Sin fecha</v>
      </c>
      <c r="L68" t="str">
        <f>ACTIVIDADES!P68</f>
        <v>Registro disponible para nuevas actividades</v>
      </c>
    </row>
    <row r="69" spans="1:12">
      <c r="A69" t="str">
        <f>IF(ACTIVIDADES!A69="","",ACTIVIDADES!A69)</f>
        <v>EX.09</v>
      </c>
      <c r="B69" t="str">
        <f>IF(ACTIVIDADES!B69="","",ACTIVIDADES!B69)</f>
        <v/>
      </c>
      <c r="C69" t="str">
        <f>IF(ACTIVIDADES!C69="","",ACTIVIDADES!C69)</f>
        <v>Extraordinaria</v>
      </c>
      <c r="D69" t="str">
        <f>IF(ACTIVIDADES!D69="","",ACTIVIDADES!D69)</f>
        <v/>
      </c>
      <c r="E69" t="str">
        <f>IF(ACTIVIDADES!E69="","",ACTIVIDADES!E69)</f>
        <v/>
      </c>
      <c r="F69" s="1" t="str">
        <f>IF(ACTIVIDADES!H69="","",ACTIVIDADES!H69)</f>
        <v/>
      </c>
      <c r="G69" s="1" t="str">
        <f>IF(ACTIVIDADES!I69="","",ACTIVIDADES!I69)</f>
        <v/>
      </c>
      <c r="H69" t="str">
        <f t="shared" ref="H69:H100" si="2">IF(OR(F69="",G69=""),"",G69-F69+1)</f>
        <v/>
      </c>
      <c r="I69" t="str">
        <f>ACTIVIDADES!K69</f>
        <v>Pendiente</v>
      </c>
      <c r="J69" s="4">
        <f>ACTIVIDADES!M69</f>
        <v>0</v>
      </c>
      <c r="K69" t="str">
        <f>ACTIVIDADES!O69</f>
        <v>Sin fecha</v>
      </c>
      <c r="L69" t="str">
        <f>ACTIVIDADES!P69</f>
        <v>Registro disponible para nuevas actividades</v>
      </c>
    </row>
    <row r="70" spans="1:12">
      <c r="A70" t="str">
        <f>IF(ACTIVIDADES!A70="","",ACTIVIDADES!A70)</f>
        <v>EX.10</v>
      </c>
      <c r="B70" t="str">
        <f>IF(ACTIVIDADES!B70="","",ACTIVIDADES!B70)</f>
        <v/>
      </c>
      <c r="C70" t="str">
        <f>IF(ACTIVIDADES!C70="","",ACTIVIDADES!C70)</f>
        <v>No planificada</v>
      </c>
      <c r="D70" t="str">
        <f>IF(ACTIVIDADES!D70="","",ACTIVIDADES!D70)</f>
        <v/>
      </c>
      <c r="E70" t="str">
        <f>IF(ACTIVIDADES!E70="","",ACTIVIDADES!E70)</f>
        <v/>
      </c>
      <c r="F70" s="1" t="str">
        <f>IF(ACTIVIDADES!H70="","",ACTIVIDADES!H70)</f>
        <v/>
      </c>
      <c r="G70" s="1" t="str">
        <f>IF(ACTIVIDADES!I70="","",ACTIVIDADES!I70)</f>
        <v/>
      </c>
      <c r="H70" t="str">
        <f t="shared" si="2"/>
        <v/>
      </c>
      <c r="I70" t="str">
        <f>ACTIVIDADES!K70</f>
        <v>Pendiente</v>
      </c>
      <c r="J70" s="4">
        <f>ACTIVIDADES!M70</f>
        <v>0</v>
      </c>
      <c r="K70" t="str">
        <f>ACTIVIDADES!O70</f>
        <v>Sin fecha</v>
      </c>
      <c r="L70" t="str">
        <f>ACTIVIDADES!P70</f>
        <v>Registro disponible para nuevas actividades</v>
      </c>
    </row>
    <row r="71" spans="1:12">
      <c r="A71" t="str">
        <f>IF(ACTIVIDADES!A71="","",ACTIVIDADES!A71)</f>
        <v>EX.11</v>
      </c>
      <c r="B71" t="str">
        <f>IF(ACTIVIDADES!B71="","",ACTIVIDADES!B71)</f>
        <v/>
      </c>
      <c r="C71" t="str">
        <f>IF(ACTIVIDADES!C71="","",ACTIVIDADES!C71)</f>
        <v>Extraordinaria</v>
      </c>
      <c r="D71" t="str">
        <f>IF(ACTIVIDADES!D71="","",ACTIVIDADES!D71)</f>
        <v/>
      </c>
      <c r="E71" t="str">
        <f>IF(ACTIVIDADES!E71="","",ACTIVIDADES!E71)</f>
        <v/>
      </c>
      <c r="F71" s="1" t="str">
        <f>IF(ACTIVIDADES!H71="","",ACTIVIDADES!H71)</f>
        <v/>
      </c>
      <c r="G71" s="1" t="str">
        <f>IF(ACTIVIDADES!I71="","",ACTIVIDADES!I71)</f>
        <v/>
      </c>
      <c r="H71" t="str">
        <f t="shared" si="2"/>
        <v/>
      </c>
      <c r="I71" t="str">
        <f>ACTIVIDADES!K71</f>
        <v>Pendiente</v>
      </c>
      <c r="J71" s="4">
        <f>ACTIVIDADES!M71</f>
        <v>0</v>
      </c>
      <c r="K71" t="str">
        <f>ACTIVIDADES!O71</f>
        <v>Sin fecha</v>
      </c>
      <c r="L71" t="str">
        <f>ACTIVIDADES!P71</f>
        <v>Registro disponible para nuevas actividades</v>
      </c>
    </row>
    <row r="72" spans="1:12">
      <c r="A72" t="str">
        <f>IF(ACTIVIDADES!A72="","",ACTIVIDADES!A72)</f>
        <v>EX.12</v>
      </c>
      <c r="B72" t="str">
        <f>IF(ACTIVIDADES!B72="","",ACTIVIDADES!B72)</f>
        <v/>
      </c>
      <c r="C72" t="str">
        <f>IF(ACTIVIDADES!C72="","",ACTIVIDADES!C72)</f>
        <v>No planificada</v>
      </c>
      <c r="D72" t="str">
        <f>IF(ACTIVIDADES!D72="","",ACTIVIDADES!D72)</f>
        <v/>
      </c>
      <c r="E72" t="str">
        <f>IF(ACTIVIDADES!E72="","",ACTIVIDADES!E72)</f>
        <v/>
      </c>
      <c r="F72" s="1" t="str">
        <f>IF(ACTIVIDADES!H72="","",ACTIVIDADES!H72)</f>
        <v/>
      </c>
      <c r="G72" s="1" t="str">
        <f>IF(ACTIVIDADES!I72="","",ACTIVIDADES!I72)</f>
        <v/>
      </c>
      <c r="H72" t="str">
        <f t="shared" si="2"/>
        <v/>
      </c>
      <c r="I72" t="str">
        <f>ACTIVIDADES!K72</f>
        <v>Pendiente</v>
      </c>
      <c r="J72" s="4">
        <f>ACTIVIDADES!M72</f>
        <v>0</v>
      </c>
      <c r="K72" t="str">
        <f>ACTIVIDADES!O72</f>
        <v>Sin fecha</v>
      </c>
      <c r="L72" t="str">
        <f>ACTIVIDADES!P72</f>
        <v>Registro disponible para nuevas actividades</v>
      </c>
    </row>
    <row r="73" spans="1:12">
      <c r="A73" t="str">
        <f>IF(ACTIVIDADES!A73="","",ACTIVIDADES!A73)</f>
        <v>EX.13</v>
      </c>
      <c r="B73" t="str">
        <f>IF(ACTIVIDADES!B73="","",ACTIVIDADES!B73)</f>
        <v/>
      </c>
      <c r="C73" t="str">
        <f>IF(ACTIVIDADES!C73="","",ACTIVIDADES!C73)</f>
        <v>Extraordinaria</v>
      </c>
      <c r="D73" t="str">
        <f>IF(ACTIVIDADES!D73="","",ACTIVIDADES!D73)</f>
        <v/>
      </c>
      <c r="E73" t="str">
        <f>IF(ACTIVIDADES!E73="","",ACTIVIDADES!E73)</f>
        <v/>
      </c>
      <c r="F73" s="1" t="str">
        <f>IF(ACTIVIDADES!H73="","",ACTIVIDADES!H73)</f>
        <v/>
      </c>
      <c r="G73" s="1" t="str">
        <f>IF(ACTIVIDADES!I73="","",ACTIVIDADES!I73)</f>
        <v/>
      </c>
      <c r="H73" t="str">
        <f t="shared" si="2"/>
        <v/>
      </c>
      <c r="I73" t="str">
        <f>ACTIVIDADES!K73</f>
        <v>Pendiente</v>
      </c>
      <c r="J73" s="4">
        <f>ACTIVIDADES!M73</f>
        <v>0</v>
      </c>
      <c r="K73" t="str">
        <f>ACTIVIDADES!O73</f>
        <v>Sin fecha</v>
      </c>
      <c r="L73" t="str">
        <f>ACTIVIDADES!P73</f>
        <v>Registro disponible para nuevas actividades</v>
      </c>
    </row>
    <row r="74" spans="1:12">
      <c r="A74" t="str">
        <f>IF(ACTIVIDADES!A74="","",ACTIVIDADES!A74)</f>
        <v>EX.14</v>
      </c>
      <c r="B74" t="str">
        <f>IF(ACTIVIDADES!B74="","",ACTIVIDADES!B74)</f>
        <v/>
      </c>
      <c r="C74" t="str">
        <f>IF(ACTIVIDADES!C74="","",ACTIVIDADES!C74)</f>
        <v>No planificada</v>
      </c>
      <c r="D74" t="str">
        <f>IF(ACTIVIDADES!D74="","",ACTIVIDADES!D74)</f>
        <v/>
      </c>
      <c r="E74" t="str">
        <f>IF(ACTIVIDADES!E74="","",ACTIVIDADES!E74)</f>
        <v/>
      </c>
      <c r="F74" s="1" t="str">
        <f>IF(ACTIVIDADES!H74="","",ACTIVIDADES!H74)</f>
        <v/>
      </c>
      <c r="G74" s="1" t="str">
        <f>IF(ACTIVIDADES!I74="","",ACTIVIDADES!I74)</f>
        <v/>
      </c>
      <c r="H74" t="str">
        <f t="shared" si="2"/>
        <v/>
      </c>
      <c r="I74" t="str">
        <f>ACTIVIDADES!K74</f>
        <v>Pendiente</v>
      </c>
      <c r="J74" s="4">
        <f>ACTIVIDADES!M74</f>
        <v>0</v>
      </c>
      <c r="K74" t="str">
        <f>ACTIVIDADES!O74</f>
        <v>Sin fecha</v>
      </c>
      <c r="L74" t="str">
        <f>ACTIVIDADES!P74</f>
        <v>Registro disponible para nuevas actividades</v>
      </c>
    </row>
    <row r="75" spans="1:12">
      <c r="A75" t="str">
        <f>IF(ACTIVIDADES!A75="","",ACTIVIDADES!A75)</f>
        <v>EX.15</v>
      </c>
      <c r="B75" t="str">
        <f>IF(ACTIVIDADES!B75="","",ACTIVIDADES!B75)</f>
        <v/>
      </c>
      <c r="C75" t="str">
        <f>IF(ACTIVIDADES!C75="","",ACTIVIDADES!C75)</f>
        <v>Extraordinaria</v>
      </c>
      <c r="D75" t="str">
        <f>IF(ACTIVIDADES!D75="","",ACTIVIDADES!D75)</f>
        <v/>
      </c>
      <c r="E75" t="str">
        <f>IF(ACTIVIDADES!E75="","",ACTIVIDADES!E75)</f>
        <v/>
      </c>
      <c r="F75" s="1" t="str">
        <f>IF(ACTIVIDADES!H75="","",ACTIVIDADES!H75)</f>
        <v/>
      </c>
      <c r="G75" s="1" t="str">
        <f>IF(ACTIVIDADES!I75="","",ACTIVIDADES!I75)</f>
        <v/>
      </c>
      <c r="H75" t="str">
        <f t="shared" si="2"/>
        <v/>
      </c>
      <c r="I75" t="str">
        <f>ACTIVIDADES!K75</f>
        <v>Pendiente</v>
      </c>
      <c r="J75" s="4">
        <f>ACTIVIDADES!M75</f>
        <v>0</v>
      </c>
      <c r="K75" t="str">
        <f>ACTIVIDADES!O75</f>
        <v>Sin fecha</v>
      </c>
      <c r="L75" t="str">
        <f>ACTIVIDADES!P75</f>
        <v>Registro disponible para nuevas actividades</v>
      </c>
    </row>
    <row r="76" spans="1:12">
      <c r="A76" t="str">
        <f>IF(ACTIVIDADES!A76="","",ACTIVIDADES!A76)</f>
        <v>EX.16</v>
      </c>
      <c r="B76" t="str">
        <f>IF(ACTIVIDADES!B76="","",ACTIVIDADES!B76)</f>
        <v/>
      </c>
      <c r="C76" t="str">
        <f>IF(ACTIVIDADES!C76="","",ACTIVIDADES!C76)</f>
        <v>No planificada</v>
      </c>
      <c r="D76" t="str">
        <f>IF(ACTIVIDADES!D76="","",ACTIVIDADES!D76)</f>
        <v/>
      </c>
      <c r="E76" t="str">
        <f>IF(ACTIVIDADES!E76="","",ACTIVIDADES!E76)</f>
        <v/>
      </c>
      <c r="F76" s="1" t="str">
        <f>IF(ACTIVIDADES!H76="","",ACTIVIDADES!H76)</f>
        <v/>
      </c>
      <c r="G76" s="1" t="str">
        <f>IF(ACTIVIDADES!I76="","",ACTIVIDADES!I76)</f>
        <v/>
      </c>
      <c r="H76" t="str">
        <f t="shared" si="2"/>
        <v/>
      </c>
      <c r="I76" t="str">
        <f>ACTIVIDADES!K76</f>
        <v>Pendiente</v>
      </c>
      <c r="J76" s="4">
        <f>ACTIVIDADES!M76</f>
        <v>0</v>
      </c>
      <c r="K76" t="str">
        <f>ACTIVIDADES!O76</f>
        <v>Sin fecha</v>
      </c>
      <c r="L76" t="str">
        <f>ACTIVIDADES!P76</f>
        <v>Registro disponible para nuevas actividades</v>
      </c>
    </row>
    <row r="77" spans="1:12">
      <c r="A77" t="str">
        <f>IF(ACTIVIDADES!A77="","",ACTIVIDADES!A77)</f>
        <v>EX.17</v>
      </c>
      <c r="B77" t="str">
        <f>IF(ACTIVIDADES!B77="","",ACTIVIDADES!B77)</f>
        <v/>
      </c>
      <c r="C77" t="str">
        <f>IF(ACTIVIDADES!C77="","",ACTIVIDADES!C77)</f>
        <v>Extraordinaria</v>
      </c>
      <c r="D77" t="str">
        <f>IF(ACTIVIDADES!D77="","",ACTIVIDADES!D77)</f>
        <v/>
      </c>
      <c r="E77" t="str">
        <f>IF(ACTIVIDADES!E77="","",ACTIVIDADES!E77)</f>
        <v/>
      </c>
      <c r="F77" s="1" t="str">
        <f>IF(ACTIVIDADES!H77="","",ACTIVIDADES!H77)</f>
        <v/>
      </c>
      <c r="G77" s="1" t="str">
        <f>IF(ACTIVIDADES!I77="","",ACTIVIDADES!I77)</f>
        <v/>
      </c>
      <c r="H77" t="str">
        <f t="shared" si="2"/>
        <v/>
      </c>
      <c r="I77" t="str">
        <f>ACTIVIDADES!K77</f>
        <v>Pendiente</v>
      </c>
      <c r="J77" s="4">
        <f>ACTIVIDADES!M77</f>
        <v>0</v>
      </c>
      <c r="K77" t="str">
        <f>ACTIVIDADES!O77</f>
        <v>Sin fecha</v>
      </c>
      <c r="L77" t="str">
        <f>ACTIVIDADES!P77</f>
        <v>Registro disponible para nuevas actividades</v>
      </c>
    </row>
    <row r="78" spans="1:12">
      <c r="A78" t="str">
        <f>IF(ACTIVIDADES!A78="","",ACTIVIDADES!A78)</f>
        <v>EX.18</v>
      </c>
      <c r="B78" t="str">
        <f>IF(ACTIVIDADES!B78="","",ACTIVIDADES!B78)</f>
        <v/>
      </c>
      <c r="C78" t="str">
        <f>IF(ACTIVIDADES!C78="","",ACTIVIDADES!C78)</f>
        <v>No planificada</v>
      </c>
      <c r="D78" t="str">
        <f>IF(ACTIVIDADES!D78="","",ACTIVIDADES!D78)</f>
        <v/>
      </c>
      <c r="E78" t="str">
        <f>IF(ACTIVIDADES!E78="","",ACTIVIDADES!E78)</f>
        <v/>
      </c>
      <c r="F78" s="1" t="str">
        <f>IF(ACTIVIDADES!H78="","",ACTIVIDADES!H78)</f>
        <v/>
      </c>
      <c r="G78" s="1" t="str">
        <f>IF(ACTIVIDADES!I78="","",ACTIVIDADES!I78)</f>
        <v/>
      </c>
      <c r="H78" t="str">
        <f t="shared" si="2"/>
        <v/>
      </c>
      <c r="I78" t="str">
        <f>ACTIVIDADES!K78</f>
        <v>Pendiente</v>
      </c>
      <c r="J78" s="4">
        <f>ACTIVIDADES!M78</f>
        <v>0</v>
      </c>
      <c r="K78" t="str">
        <f>ACTIVIDADES!O78</f>
        <v>Sin fecha</v>
      </c>
      <c r="L78" t="str">
        <f>ACTIVIDADES!P78</f>
        <v>Registro disponible para nuevas actividades</v>
      </c>
    </row>
    <row r="79" spans="1:12">
      <c r="A79" t="str">
        <f>IF(ACTIVIDADES!A79="","",ACTIVIDADES!A79)</f>
        <v>EX.19</v>
      </c>
      <c r="B79" t="str">
        <f>IF(ACTIVIDADES!B79="","",ACTIVIDADES!B79)</f>
        <v/>
      </c>
      <c r="C79" t="str">
        <f>IF(ACTIVIDADES!C79="","",ACTIVIDADES!C79)</f>
        <v>Extraordinaria</v>
      </c>
      <c r="D79" t="str">
        <f>IF(ACTIVIDADES!D79="","",ACTIVIDADES!D79)</f>
        <v/>
      </c>
      <c r="E79" t="str">
        <f>IF(ACTIVIDADES!E79="","",ACTIVIDADES!E79)</f>
        <v/>
      </c>
      <c r="F79" s="1" t="str">
        <f>IF(ACTIVIDADES!H79="","",ACTIVIDADES!H79)</f>
        <v/>
      </c>
      <c r="G79" s="1" t="str">
        <f>IF(ACTIVIDADES!I79="","",ACTIVIDADES!I79)</f>
        <v/>
      </c>
      <c r="H79" t="str">
        <f t="shared" si="2"/>
        <v/>
      </c>
      <c r="I79" t="str">
        <f>ACTIVIDADES!K79</f>
        <v>Pendiente</v>
      </c>
      <c r="J79" s="4">
        <f>ACTIVIDADES!M79</f>
        <v>0</v>
      </c>
      <c r="K79" t="str">
        <f>ACTIVIDADES!O79</f>
        <v>Sin fecha</v>
      </c>
      <c r="L79" t="str">
        <f>ACTIVIDADES!P79</f>
        <v>Registro disponible para nuevas actividades</v>
      </c>
    </row>
    <row r="80" spans="1:12">
      <c r="A80" t="str">
        <f>IF(ACTIVIDADES!A80="","",ACTIVIDADES!A80)</f>
        <v>EX.20</v>
      </c>
      <c r="B80" t="str">
        <f>IF(ACTIVIDADES!B80="","",ACTIVIDADES!B80)</f>
        <v/>
      </c>
      <c r="C80" t="str">
        <f>IF(ACTIVIDADES!C80="","",ACTIVIDADES!C80)</f>
        <v>No planificada</v>
      </c>
      <c r="D80" t="str">
        <f>IF(ACTIVIDADES!D80="","",ACTIVIDADES!D80)</f>
        <v/>
      </c>
      <c r="E80" t="str">
        <f>IF(ACTIVIDADES!E80="","",ACTIVIDADES!E80)</f>
        <v/>
      </c>
      <c r="F80" s="1" t="str">
        <f>IF(ACTIVIDADES!H80="","",ACTIVIDADES!H80)</f>
        <v/>
      </c>
      <c r="G80" s="1" t="str">
        <f>IF(ACTIVIDADES!I80="","",ACTIVIDADES!I80)</f>
        <v/>
      </c>
      <c r="H80" t="str">
        <f t="shared" si="2"/>
        <v/>
      </c>
      <c r="I80" t="str">
        <f>ACTIVIDADES!K80</f>
        <v>Pendiente</v>
      </c>
      <c r="J80" s="4">
        <f>ACTIVIDADES!M80</f>
        <v>0</v>
      </c>
      <c r="K80" t="str">
        <f>ACTIVIDADES!O80</f>
        <v>Sin fecha</v>
      </c>
      <c r="L80" t="str">
        <f>ACTIVIDADES!P80</f>
        <v>Registro disponible para nuevas actividades</v>
      </c>
    </row>
    <row r="81" spans="1:12">
      <c r="A81" t="str">
        <f>IF(ACTIVIDADES!A81="","",ACTIVIDADES!A81)</f>
        <v>EX.21</v>
      </c>
      <c r="B81" t="str">
        <f>IF(ACTIVIDADES!B81="","",ACTIVIDADES!B81)</f>
        <v/>
      </c>
      <c r="C81" t="str">
        <f>IF(ACTIVIDADES!C81="","",ACTIVIDADES!C81)</f>
        <v>Extraordinaria</v>
      </c>
      <c r="D81" t="str">
        <f>IF(ACTIVIDADES!D81="","",ACTIVIDADES!D81)</f>
        <v/>
      </c>
      <c r="E81" t="str">
        <f>IF(ACTIVIDADES!E81="","",ACTIVIDADES!E81)</f>
        <v/>
      </c>
      <c r="F81" s="1" t="str">
        <f>IF(ACTIVIDADES!H81="","",ACTIVIDADES!H81)</f>
        <v/>
      </c>
      <c r="G81" s="1" t="str">
        <f>IF(ACTIVIDADES!I81="","",ACTIVIDADES!I81)</f>
        <v/>
      </c>
      <c r="H81" t="str">
        <f t="shared" si="2"/>
        <v/>
      </c>
      <c r="I81" t="str">
        <f>ACTIVIDADES!K81</f>
        <v>Pendiente</v>
      </c>
      <c r="J81" s="4">
        <f>ACTIVIDADES!M81</f>
        <v>0</v>
      </c>
      <c r="K81" t="str">
        <f>ACTIVIDADES!O81</f>
        <v>Sin fecha</v>
      </c>
      <c r="L81" t="str">
        <f>ACTIVIDADES!P81</f>
        <v>Registro disponible para nuevas actividades</v>
      </c>
    </row>
    <row r="82" spans="1:12">
      <c r="A82" t="str">
        <f>IF(ACTIVIDADES!A82="","",ACTIVIDADES!A82)</f>
        <v>EX.22</v>
      </c>
      <c r="B82" t="str">
        <f>IF(ACTIVIDADES!B82="","",ACTIVIDADES!B82)</f>
        <v/>
      </c>
      <c r="C82" t="str">
        <f>IF(ACTIVIDADES!C82="","",ACTIVIDADES!C82)</f>
        <v>No planificada</v>
      </c>
      <c r="D82" t="str">
        <f>IF(ACTIVIDADES!D82="","",ACTIVIDADES!D82)</f>
        <v/>
      </c>
      <c r="E82" t="str">
        <f>IF(ACTIVIDADES!E82="","",ACTIVIDADES!E82)</f>
        <v/>
      </c>
      <c r="F82" s="1" t="str">
        <f>IF(ACTIVIDADES!H82="","",ACTIVIDADES!H82)</f>
        <v/>
      </c>
      <c r="G82" s="1" t="str">
        <f>IF(ACTIVIDADES!I82="","",ACTIVIDADES!I82)</f>
        <v/>
      </c>
      <c r="H82" t="str">
        <f t="shared" si="2"/>
        <v/>
      </c>
      <c r="I82" t="str">
        <f>ACTIVIDADES!K82</f>
        <v>Pendiente</v>
      </c>
      <c r="J82" s="4">
        <f>ACTIVIDADES!M82</f>
        <v>0</v>
      </c>
      <c r="K82" t="str">
        <f>ACTIVIDADES!O82</f>
        <v>Sin fecha</v>
      </c>
      <c r="L82" t="str">
        <f>ACTIVIDADES!P82</f>
        <v>Registro disponible para nuevas actividades</v>
      </c>
    </row>
    <row r="83" spans="1:12">
      <c r="A83" t="str">
        <f>IF(ACTIVIDADES!A83="","",ACTIVIDADES!A83)</f>
        <v>EX.23</v>
      </c>
      <c r="B83" t="str">
        <f>IF(ACTIVIDADES!B83="","",ACTIVIDADES!B83)</f>
        <v/>
      </c>
      <c r="C83" t="str">
        <f>IF(ACTIVIDADES!C83="","",ACTIVIDADES!C83)</f>
        <v>Extraordinaria</v>
      </c>
      <c r="D83" t="str">
        <f>IF(ACTIVIDADES!D83="","",ACTIVIDADES!D83)</f>
        <v/>
      </c>
      <c r="E83" t="str">
        <f>IF(ACTIVIDADES!E83="","",ACTIVIDADES!E83)</f>
        <v/>
      </c>
      <c r="F83" s="1" t="str">
        <f>IF(ACTIVIDADES!H83="","",ACTIVIDADES!H83)</f>
        <v/>
      </c>
      <c r="G83" s="1" t="str">
        <f>IF(ACTIVIDADES!I83="","",ACTIVIDADES!I83)</f>
        <v/>
      </c>
      <c r="H83" t="str">
        <f t="shared" si="2"/>
        <v/>
      </c>
      <c r="I83" t="str">
        <f>ACTIVIDADES!K83</f>
        <v>Pendiente</v>
      </c>
      <c r="J83" s="4">
        <f>ACTIVIDADES!M83</f>
        <v>0</v>
      </c>
      <c r="K83" t="str">
        <f>ACTIVIDADES!O83</f>
        <v>Sin fecha</v>
      </c>
      <c r="L83" t="str">
        <f>ACTIVIDADES!P83</f>
        <v>Registro disponible para nuevas actividades</v>
      </c>
    </row>
    <row r="84" spans="1:12">
      <c r="A84" t="str">
        <f>IF(ACTIVIDADES!A84="","",ACTIVIDADES!A84)</f>
        <v>EX.24</v>
      </c>
      <c r="B84" t="str">
        <f>IF(ACTIVIDADES!B84="","",ACTIVIDADES!B84)</f>
        <v/>
      </c>
      <c r="C84" t="str">
        <f>IF(ACTIVIDADES!C84="","",ACTIVIDADES!C84)</f>
        <v>No planificada</v>
      </c>
      <c r="D84" t="str">
        <f>IF(ACTIVIDADES!D84="","",ACTIVIDADES!D84)</f>
        <v/>
      </c>
      <c r="E84" t="str">
        <f>IF(ACTIVIDADES!E84="","",ACTIVIDADES!E84)</f>
        <v/>
      </c>
      <c r="F84" s="1" t="str">
        <f>IF(ACTIVIDADES!H84="","",ACTIVIDADES!H84)</f>
        <v/>
      </c>
      <c r="G84" s="1" t="str">
        <f>IF(ACTIVIDADES!I84="","",ACTIVIDADES!I84)</f>
        <v/>
      </c>
      <c r="H84" t="str">
        <f t="shared" si="2"/>
        <v/>
      </c>
      <c r="I84" t="str">
        <f>ACTIVIDADES!K84</f>
        <v>Pendiente</v>
      </c>
      <c r="J84" s="4">
        <f>ACTIVIDADES!M84</f>
        <v>0</v>
      </c>
      <c r="K84" t="str">
        <f>ACTIVIDADES!O84</f>
        <v>Sin fecha</v>
      </c>
      <c r="L84" t="str">
        <f>ACTIVIDADES!P84</f>
        <v>Registro disponible para nuevas actividades</v>
      </c>
    </row>
  </sheetData>
  <mergeCells count="1">
    <mergeCell ref="A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4"/>
  <sheetViews>
    <sheetView workbookViewId="0">
      <pane ySplit="4" topLeftCell="A5" activePane="bottomLeft" state="frozen"/>
      <selection pane="bottomLeft" activeCell="C37" sqref="C37"/>
    </sheetView>
  </sheetViews>
  <sheetFormatPr baseColWidth="10" defaultColWidth="8.796875" defaultRowHeight="13.8"/>
  <cols>
    <col min="1" max="1" width="14" customWidth="1"/>
    <col min="2" max="2" width="25" customWidth="1"/>
    <col min="3" max="3" width="19" customWidth="1"/>
    <col min="4" max="4" width="44" customWidth="1"/>
    <col min="5" max="35" width="11" customWidth="1"/>
    <col min="36" max="36" width="17" customWidth="1"/>
  </cols>
  <sheetData>
    <row r="1" spans="1:36" ht="24" customHeight="1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6" ht="24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4" spans="1:36" ht="30" customHeight="1">
      <c r="A4" s="3" t="s">
        <v>33</v>
      </c>
      <c r="B4" s="3" t="s">
        <v>14</v>
      </c>
      <c r="C4" s="3" t="s">
        <v>34</v>
      </c>
      <c r="D4" s="3" t="s">
        <v>35</v>
      </c>
      <c r="E4" s="6">
        <f>IF(1&lt;=DAY(CONFIGURACION!$B$7),DATE(CONFIGURACION!$B$4,CONFIGURACION!$B$5,1),"")</f>
        <v>46296</v>
      </c>
      <c r="F4" s="6">
        <f>IF(2&lt;=DAY(CONFIGURACION!$B$7),DATE(CONFIGURACION!$B$4,CONFIGURACION!$B$5,2),"")</f>
        <v>46297</v>
      </c>
      <c r="G4" s="6">
        <f>IF(3&lt;=DAY(CONFIGURACION!$B$7),DATE(CONFIGURACION!$B$4,CONFIGURACION!$B$5,3),"")</f>
        <v>46298</v>
      </c>
      <c r="H4" s="6">
        <f>IF(4&lt;=DAY(CONFIGURACION!$B$7),DATE(CONFIGURACION!$B$4,CONFIGURACION!$B$5,4),"")</f>
        <v>46299</v>
      </c>
      <c r="I4" s="6">
        <f>IF(5&lt;=DAY(CONFIGURACION!$B$7),DATE(CONFIGURACION!$B$4,CONFIGURACION!$B$5,5),"")</f>
        <v>46300</v>
      </c>
      <c r="J4" s="6">
        <f>IF(6&lt;=DAY(CONFIGURACION!$B$7),DATE(CONFIGURACION!$B$4,CONFIGURACION!$B$5,6),"")</f>
        <v>46301</v>
      </c>
      <c r="K4" s="6">
        <f>IF(7&lt;=DAY(CONFIGURACION!$B$7),DATE(CONFIGURACION!$B$4,CONFIGURACION!$B$5,7),"")</f>
        <v>46302</v>
      </c>
      <c r="L4" s="6">
        <f>IF(8&lt;=DAY(CONFIGURACION!$B$7),DATE(CONFIGURACION!$B$4,CONFIGURACION!$B$5,8),"")</f>
        <v>46303</v>
      </c>
      <c r="M4" s="6">
        <f>IF(9&lt;=DAY(CONFIGURACION!$B$7),DATE(CONFIGURACION!$B$4,CONFIGURACION!$B$5,9),"")</f>
        <v>46304</v>
      </c>
      <c r="N4" s="6">
        <f>IF(10&lt;=DAY(CONFIGURACION!$B$7),DATE(CONFIGURACION!$B$4,CONFIGURACION!$B$5,10),"")</f>
        <v>46305</v>
      </c>
      <c r="O4" s="6">
        <f>IF(11&lt;=DAY(CONFIGURACION!$B$7),DATE(CONFIGURACION!$B$4,CONFIGURACION!$B$5,11),"")</f>
        <v>46306</v>
      </c>
      <c r="P4" s="6">
        <f>IF(12&lt;=DAY(CONFIGURACION!$B$7),DATE(CONFIGURACION!$B$4,CONFIGURACION!$B$5,12),"")</f>
        <v>46307</v>
      </c>
      <c r="Q4" s="6">
        <f>IF(13&lt;=DAY(CONFIGURACION!$B$7),DATE(CONFIGURACION!$B$4,CONFIGURACION!$B$5,13),"")</f>
        <v>46308</v>
      </c>
      <c r="R4" s="6">
        <f>IF(14&lt;=DAY(CONFIGURACION!$B$7),DATE(CONFIGURACION!$B$4,CONFIGURACION!$B$5,14),"")</f>
        <v>46309</v>
      </c>
      <c r="S4" s="6">
        <f>IF(15&lt;=DAY(CONFIGURACION!$B$7),DATE(CONFIGURACION!$B$4,CONFIGURACION!$B$5,15),"")</f>
        <v>46310</v>
      </c>
      <c r="T4" s="6">
        <f>IF(16&lt;=DAY(CONFIGURACION!$B$7),DATE(CONFIGURACION!$B$4,CONFIGURACION!$B$5,16),"")</f>
        <v>46311</v>
      </c>
      <c r="U4" s="6">
        <f>IF(17&lt;=DAY(CONFIGURACION!$B$7),DATE(CONFIGURACION!$B$4,CONFIGURACION!$B$5,17),"")</f>
        <v>46312</v>
      </c>
      <c r="V4" s="6">
        <f>IF(18&lt;=DAY(CONFIGURACION!$B$7),DATE(CONFIGURACION!$B$4,CONFIGURACION!$B$5,18),"")</f>
        <v>46313</v>
      </c>
      <c r="W4" s="6">
        <f>IF(19&lt;=DAY(CONFIGURACION!$B$7),DATE(CONFIGURACION!$B$4,CONFIGURACION!$B$5,19),"")</f>
        <v>46314</v>
      </c>
      <c r="X4" s="6">
        <f>IF(20&lt;=DAY(CONFIGURACION!$B$7),DATE(CONFIGURACION!$B$4,CONFIGURACION!$B$5,20),"")</f>
        <v>46315</v>
      </c>
      <c r="Y4" s="6">
        <f>IF(21&lt;=DAY(CONFIGURACION!$B$7),DATE(CONFIGURACION!$B$4,CONFIGURACION!$B$5,21),"")</f>
        <v>46316</v>
      </c>
      <c r="Z4" s="6">
        <f>IF(22&lt;=DAY(CONFIGURACION!$B$7),DATE(CONFIGURACION!$B$4,CONFIGURACION!$B$5,22),"")</f>
        <v>46317</v>
      </c>
      <c r="AA4" s="6">
        <f>IF(23&lt;=DAY(CONFIGURACION!$B$7),DATE(CONFIGURACION!$B$4,CONFIGURACION!$B$5,23),"")</f>
        <v>46318</v>
      </c>
      <c r="AB4" s="6">
        <f>IF(24&lt;=DAY(CONFIGURACION!$B$7),DATE(CONFIGURACION!$B$4,CONFIGURACION!$B$5,24),"")</f>
        <v>46319</v>
      </c>
      <c r="AC4" s="6">
        <f>IF(25&lt;=DAY(CONFIGURACION!$B$7),DATE(CONFIGURACION!$B$4,CONFIGURACION!$B$5,25),"")</f>
        <v>46320</v>
      </c>
      <c r="AD4" s="6">
        <f>IF(26&lt;=DAY(CONFIGURACION!$B$7),DATE(CONFIGURACION!$B$4,CONFIGURACION!$B$5,26),"")</f>
        <v>46321</v>
      </c>
      <c r="AE4" s="6">
        <f>IF(27&lt;=DAY(CONFIGURACION!$B$7),DATE(CONFIGURACION!$B$4,CONFIGURACION!$B$5,27),"")</f>
        <v>46322</v>
      </c>
      <c r="AF4" s="6">
        <f>IF(28&lt;=DAY(CONFIGURACION!$B$7),DATE(CONFIGURACION!$B$4,CONFIGURACION!$B$5,28),"")</f>
        <v>46323</v>
      </c>
      <c r="AG4" s="6">
        <f>IF(29&lt;=DAY(CONFIGURACION!$B$7),DATE(CONFIGURACION!$B$4,CONFIGURACION!$B$5,29),"")</f>
        <v>46324</v>
      </c>
      <c r="AH4" s="6">
        <f>IF(30&lt;=DAY(CONFIGURACION!$B$7),DATE(CONFIGURACION!$B$4,CONFIGURACION!$B$5,30),"")</f>
        <v>46325</v>
      </c>
      <c r="AI4" s="7">
        <f>IF(31&lt;=DAY(CONFIGURACION!$B$7),DATE(CONFIGURACION!$B$4,CONFIGURACION!$B$5,31),"")</f>
        <v>46326</v>
      </c>
      <c r="AJ4" t="s">
        <v>15</v>
      </c>
    </row>
    <row r="5" spans="1:36">
      <c r="A5" t="str">
        <f>IF(ACTIVIDADES!A5="","",ACTIVIDADES!A5)</f>
        <v>01.01</v>
      </c>
      <c r="B5" t="str">
        <f>IF(ACTIVIDADES!B5="","",ACTIVIDADES!B5)</f>
        <v>CDJ GUAYAQUIL</v>
      </c>
      <c r="C5" t="str">
        <f>IF(ACTIVIDADES!C5="","",ACTIVIDADES!C5)</f>
        <v>Informe</v>
      </c>
      <c r="D5" t="str">
        <f>IF(ACTIVIDADES!D5="","",ACTIVIDADES!D5)</f>
        <v>Solicitar y entregar informe mensual</v>
      </c>
      <c r="E5" s="8" t="str">
        <f>IF(OR(ACTIVIDADES!$I5="",D$4=""),"",IF(ACTIVIDADES!$I5=D$4,"●",IF(AND(ACTIVIDADES!$H5&lt;=D$4,ACTIVIDADES!$I5&gt;=D$4),"·","")))</f>
        <v/>
      </c>
      <c r="F5" s="8" t="str">
        <f>IF(OR(ACTIVIDADES!$I5="",E$4=""),"",IF(ACTIVIDADES!$I5=E$4,"●",IF(AND(ACTIVIDADES!$H5&lt;=E$4,ACTIVIDADES!$I5&gt;=E$4),"·","")))</f>
        <v/>
      </c>
      <c r="G5" s="8" t="str">
        <f>IF(OR(ACTIVIDADES!$I5="",F$4=""),"",IF(ACTIVIDADES!$I5=F$4,"●",IF(AND(ACTIVIDADES!$H5&lt;=F$4,ACTIVIDADES!$I5&gt;=F$4),"·","")))</f>
        <v/>
      </c>
      <c r="H5" s="8" t="str">
        <f>IF(OR(ACTIVIDADES!$I5="",G$4=""),"",IF(ACTIVIDADES!$I5=G$4,"●",IF(AND(ACTIVIDADES!$H5&lt;=G$4,ACTIVIDADES!$I5&gt;=G$4),"·","")))</f>
        <v/>
      </c>
      <c r="I5" s="8" t="str">
        <f>IF(OR(ACTIVIDADES!$I5="",H$4=""),"",IF(ACTIVIDADES!$I5=H$4,"●",IF(AND(ACTIVIDADES!$H5&lt;=H$4,ACTIVIDADES!$I5&gt;=H$4),"·","")))</f>
        <v/>
      </c>
      <c r="J5" s="8" t="str">
        <f>IF(OR(ACTIVIDADES!$I5="",I$4=""),"",IF(ACTIVIDADES!$I5=I$4,"●",IF(AND(ACTIVIDADES!$H5&lt;=I$4,ACTIVIDADES!$I5&gt;=I$4),"·","")))</f>
        <v/>
      </c>
      <c r="K5" s="8" t="str">
        <f>IF(OR(ACTIVIDADES!$I5="",J$4=""),"",IF(ACTIVIDADES!$I5=J$4,"●",IF(AND(ACTIVIDADES!$H5&lt;=J$4,ACTIVIDADES!$I5&gt;=J$4),"·","")))</f>
        <v/>
      </c>
      <c r="L5" s="8" t="str">
        <f>IF(OR(ACTIVIDADES!$I5="",K$4=""),"",IF(ACTIVIDADES!$I5=K$4,"●",IF(AND(ACTIVIDADES!$H5&lt;=K$4,ACTIVIDADES!$I5&gt;=K$4),"·","")))</f>
        <v>·</v>
      </c>
      <c r="M5" s="8" t="str">
        <f>IF(OR(ACTIVIDADES!$I5="",L$4=""),"",IF(ACTIVIDADES!$I5=L$4,"●",IF(AND(ACTIVIDADES!$H5&lt;=L$4,ACTIVIDADES!$I5&gt;=L$4),"·","")))</f>
        <v>·</v>
      </c>
      <c r="N5" s="8" t="str">
        <f>IF(OR(ACTIVIDADES!$I5="",M$4=""),"",IF(ACTIVIDADES!$I5=M$4,"●",IF(AND(ACTIVIDADES!$H5&lt;=M$4,ACTIVIDADES!$I5&gt;=M$4),"·","")))</f>
        <v>·</v>
      </c>
      <c r="O5" s="8" t="str">
        <f>IF(OR(ACTIVIDADES!$I5="",N$4=""),"",IF(ACTIVIDADES!$I5=N$4,"●",IF(AND(ACTIVIDADES!$H5&lt;=N$4,ACTIVIDADES!$I5&gt;=N$4),"·","")))</f>
        <v>●</v>
      </c>
      <c r="P5" s="8" t="str">
        <f>IF(OR(ACTIVIDADES!$I5="",O$4=""),"",IF(ACTIVIDADES!$I5=O$4,"●",IF(AND(ACTIVIDADES!$H5&lt;=O$4,ACTIVIDADES!$I5&gt;=O$4),"·","")))</f>
        <v/>
      </c>
      <c r="Q5" s="8" t="str">
        <f>IF(OR(ACTIVIDADES!$I5="",P$4=""),"",IF(ACTIVIDADES!$I5=P$4,"●",IF(AND(ACTIVIDADES!$H5&lt;=P$4,ACTIVIDADES!$I5&gt;=P$4),"·","")))</f>
        <v/>
      </c>
      <c r="R5" s="8" t="str">
        <f>IF(OR(ACTIVIDADES!$I5="",Q$4=""),"",IF(ACTIVIDADES!$I5=Q$4,"●",IF(AND(ACTIVIDADES!$H5&lt;=Q$4,ACTIVIDADES!$I5&gt;=Q$4),"·","")))</f>
        <v/>
      </c>
      <c r="S5" s="8" t="str">
        <f>IF(OR(ACTIVIDADES!$I5="",R$4=""),"",IF(ACTIVIDADES!$I5=R$4,"●",IF(AND(ACTIVIDADES!$H5&lt;=R$4,ACTIVIDADES!$I5&gt;=R$4),"·","")))</f>
        <v/>
      </c>
      <c r="T5" s="8" t="str">
        <f>IF(OR(ACTIVIDADES!$I5="",S$4=""),"",IF(ACTIVIDADES!$I5=S$4,"●",IF(AND(ACTIVIDADES!$H5&lt;=S$4,ACTIVIDADES!$I5&gt;=S$4),"·","")))</f>
        <v/>
      </c>
      <c r="U5" s="8" t="str">
        <f>IF(OR(ACTIVIDADES!$I5="",T$4=""),"",IF(ACTIVIDADES!$I5=T$4,"●",IF(AND(ACTIVIDADES!$H5&lt;=T$4,ACTIVIDADES!$I5&gt;=T$4),"·","")))</f>
        <v/>
      </c>
      <c r="V5" s="8" t="str">
        <f>IF(OR(ACTIVIDADES!$I5="",U$4=""),"",IF(ACTIVIDADES!$I5=U$4,"●",IF(AND(ACTIVIDADES!$H5&lt;=U$4,ACTIVIDADES!$I5&gt;=U$4),"·","")))</f>
        <v/>
      </c>
      <c r="W5" s="8" t="str">
        <f>IF(OR(ACTIVIDADES!$I5="",V$4=""),"",IF(ACTIVIDADES!$I5=V$4,"●",IF(AND(ACTIVIDADES!$H5&lt;=V$4,ACTIVIDADES!$I5&gt;=V$4),"·","")))</f>
        <v/>
      </c>
      <c r="X5" s="8" t="str">
        <f>IF(OR(ACTIVIDADES!$I5="",W$4=""),"",IF(ACTIVIDADES!$I5=W$4,"●",IF(AND(ACTIVIDADES!$H5&lt;=W$4,ACTIVIDADES!$I5&gt;=W$4),"·","")))</f>
        <v/>
      </c>
      <c r="Y5" s="8" t="str">
        <f>IF(OR(ACTIVIDADES!$I5="",X$4=""),"",IF(ACTIVIDADES!$I5=X$4,"●",IF(AND(ACTIVIDADES!$H5&lt;=X$4,ACTIVIDADES!$I5&gt;=X$4),"·","")))</f>
        <v/>
      </c>
      <c r="Z5" s="8" t="str">
        <f>IF(OR(ACTIVIDADES!$I5="",Y$4=""),"",IF(ACTIVIDADES!$I5=Y$4,"●",IF(AND(ACTIVIDADES!$H5&lt;=Y$4,ACTIVIDADES!$I5&gt;=Y$4),"·","")))</f>
        <v/>
      </c>
      <c r="AA5" s="8" t="str">
        <f>IF(OR(ACTIVIDADES!$I5="",Z$4=""),"",IF(ACTIVIDADES!$I5=Z$4,"●",IF(AND(ACTIVIDADES!$H5&lt;=Z$4,ACTIVIDADES!$I5&gt;=Z$4),"·","")))</f>
        <v/>
      </c>
      <c r="AB5" s="8" t="str">
        <f>IF(OR(ACTIVIDADES!$I5="",AA$4=""),"",IF(ACTIVIDADES!$I5=AA$4,"●",IF(AND(ACTIVIDADES!$H5&lt;=AA$4,ACTIVIDADES!$I5&gt;=AA$4),"·","")))</f>
        <v/>
      </c>
      <c r="AC5" s="8" t="str">
        <f>IF(OR(ACTIVIDADES!$I5="",AB$4=""),"",IF(ACTIVIDADES!$I5=AB$4,"●",IF(AND(ACTIVIDADES!$H5&lt;=AB$4,ACTIVIDADES!$I5&gt;=AB$4),"·","")))</f>
        <v/>
      </c>
      <c r="AD5" s="8" t="str">
        <f>IF(OR(ACTIVIDADES!$I5="",AC$4=""),"",IF(ACTIVIDADES!$I5=AC$4,"●",IF(AND(ACTIVIDADES!$H5&lt;=AC$4,ACTIVIDADES!$I5&gt;=AC$4),"·","")))</f>
        <v/>
      </c>
      <c r="AE5" s="8" t="str">
        <f>IF(OR(ACTIVIDADES!$I5="",AD$4=""),"",IF(ACTIVIDADES!$I5=AD$4,"●",IF(AND(ACTIVIDADES!$H5&lt;=AD$4,ACTIVIDADES!$I5&gt;=AD$4),"·","")))</f>
        <v/>
      </c>
      <c r="AF5" s="8" t="str">
        <f>IF(OR(ACTIVIDADES!$I5="",AE$4=""),"",IF(ACTIVIDADES!$I5=AE$4,"●",IF(AND(ACTIVIDADES!$H5&lt;=AE$4,ACTIVIDADES!$I5&gt;=AE$4),"·","")))</f>
        <v/>
      </c>
      <c r="AG5" s="8" t="str">
        <f>IF(OR(ACTIVIDADES!$I5="",AF$4=""),"",IF(ACTIVIDADES!$I5=AF$4,"●",IF(AND(ACTIVIDADES!$H5&lt;=AF$4,ACTIVIDADES!$I5&gt;=AF$4),"·","")))</f>
        <v/>
      </c>
      <c r="AH5" s="8" t="str">
        <f>IF(OR(ACTIVIDADES!$I5="",AG$4=""),"",IF(ACTIVIDADES!$I5=AG$4,"●",IF(AND(ACTIVIDADES!$H5&lt;=AG$4,ACTIVIDADES!$I5&gt;=AG$4),"·","")))</f>
        <v/>
      </c>
      <c r="AI5" s="8" t="str">
        <f>IF(OR(ACTIVIDADES!$I5="",AH$4=""),"",IF(ACTIVIDADES!$I5=AH$4,"●",IF(AND(ACTIVIDADES!$H5&lt;=AH$4,ACTIVIDADES!$I5&gt;=AH$4),"·","")))</f>
        <v/>
      </c>
      <c r="AJ5" t="str">
        <f>IF(ACTIVIDADES!K5="","",ACTIVIDADES!K5)</f>
        <v>Pendiente</v>
      </c>
    </row>
    <row r="6" spans="1:36">
      <c r="A6" t="str">
        <f>IF(ACTIVIDADES!A6="","",ACTIVIDADES!A6)</f>
        <v>01.02</v>
      </c>
      <c r="B6" t="str">
        <f>IF(ACTIVIDADES!B6="","",ACTIVIDADES!B6)</f>
        <v>CDJ GUAYAQUIL</v>
      </c>
      <c r="C6" t="str">
        <f>IF(ACTIVIDADES!C6="","",ACTIVIDADES!C6)</f>
        <v>Abastecimiento</v>
      </c>
      <c r="D6" t="str">
        <f>IF(ACTIVIDADES!D6="","",ACTIVIDADES!D6)</f>
        <v>Solicitar requerimientos de insumos</v>
      </c>
      <c r="E6" s="8" t="str">
        <f>IF(OR(ACTIVIDADES!$I6="",D$4=""),"",IF(ACTIVIDADES!$I6=D$4,"●",IF(AND(ACTIVIDADES!$H6&lt;=D$4,ACTIVIDADES!$I6&gt;=D$4),"·","")))</f>
        <v/>
      </c>
      <c r="F6" s="8" t="str">
        <f>IF(OR(ACTIVIDADES!$I6="",E$4=""),"",IF(ACTIVIDADES!$I6=E$4,"●",IF(AND(ACTIVIDADES!$H6&lt;=E$4,ACTIVIDADES!$I6&gt;=E$4),"·","")))</f>
        <v>·</v>
      </c>
      <c r="G6" s="8" t="str">
        <f>IF(OR(ACTIVIDADES!$I6="",F$4=""),"",IF(ACTIVIDADES!$I6=F$4,"●",IF(AND(ACTIVIDADES!$H6&lt;=F$4,ACTIVIDADES!$I6&gt;=F$4),"·","")))</f>
        <v>·</v>
      </c>
      <c r="H6" s="8" t="str">
        <f>IF(OR(ACTIVIDADES!$I6="",G$4=""),"",IF(ACTIVIDADES!$I6=G$4,"●",IF(AND(ACTIVIDADES!$H6&lt;=G$4,ACTIVIDADES!$I6&gt;=G$4),"·","")))</f>
        <v>●</v>
      </c>
      <c r="I6" s="8" t="str">
        <f>IF(OR(ACTIVIDADES!$I6="",H$4=""),"",IF(ACTIVIDADES!$I6=H$4,"●",IF(AND(ACTIVIDADES!$H6&lt;=H$4,ACTIVIDADES!$I6&gt;=H$4),"·","")))</f>
        <v/>
      </c>
      <c r="J6" s="8" t="str">
        <f>IF(OR(ACTIVIDADES!$I6="",I$4=""),"",IF(ACTIVIDADES!$I6=I$4,"●",IF(AND(ACTIVIDADES!$H6&lt;=I$4,ACTIVIDADES!$I6&gt;=I$4),"·","")))</f>
        <v/>
      </c>
      <c r="K6" s="8" t="str">
        <f>IF(OR(ACTIVIDADES!$I6="",J$4=""),"",IF(ACTIVIDADES!$I6=J$4,"●",IF(AND(ACTIVIDADES!$H6&lt;=J$4,ACTIVIDADES!$I6&gt;=J$4),"·","")))</f>
        <v/>
      </c>
      <c r="L6" s="8" t="str">
        <f>IF(OR(ACTIVIDADES!$I6="",K$4=""),"",IF(ACTIVIDADES!$I6=K$4,"●",IF(AND(ACTIVIDADES!$H6&lt;=K$4,ACTIVIDADES!$I6&gt;=K$4),"·","")))</f>
        <v/>
      </c>
      <c r="M6" s="8" t="str">
        <f>IF(OR(ACTIVIDADES!$I6="",L$4=""),"",IF(ACTIVIDADES!$I6=L$4,"●",IF(AND(ACTIVIDADES!$H6&lt;=L$4,ACTIVIDADES!$I6&gt;=L$4),"·","")))</f>
        <v/>
      </c>
      <c r="N6" s="8" t="str">
        <f>IF(OR(ACTIVIDADES!$I6="",M$4=""),"",IF(ACTIVIDADES!$I6=M$4,"●",IF(AND(ACTIVIDADES!$H6&lt;=M$4,ACTIVIDADES!$I6&gt;=M$4),"·","")))</f>
        <v/>
      </c>
      <c r="O6" s="8" t="str">
        <f>IF(OR(ACTIVIDADES!$I6="",N$4=""),"",IF(ACTIVIDADES!$I6=N$4,"●",IF(AND(ACTIVIDADES!$H6&lt;=N$4,ACTIVIDADES!$I6&gt;=N$4),"·","")))</f>
        <v/>
      </c>
      <c r="P6" s="8" t="str">
        <f>IF(OR(ACTIVIDADES!$I6="",O$4=""),"",IF(ACTIVIDADES!$I6=O$4,"●",IF(AND(ACTIVIDADES!$H6&lt;=O$4,ACTIVIDADES!$I6&gt;=O$4),"·","")))</f>
        <v/>
      </c>
      <c r="Q6" s="8" t="str">
        <f>IF(OR(ACTIVIDADES!$I6="",P$4=""),"",IF(ACTIVIDADES!$I6=P$4,"●",IF(AND(ACTIVIDADES!$H6&lt;=P$4,ACTIVIDADES!$I6&gt;=P$4),"·","")))</f>
        <v/>
      </c>
      <c r="R6" s="8" t="str">
        <f>IF(OR(ACTIVIDADES!$I6="",Q$4=""),"",IF(ACTIVIDADES!$I6=Q$4,"●",IF(AND(ACTIVIDADES!$H6&lt;=Q$4,ACTIVIDADES!$I6&gt;=Q$4),"·","")))</f>
        <v/>
      </c>
      <c r="S6" s="8" t="str">
        <f>IF(OR(ACTIVIDADES!$I6="",R$4=""),"",IF(ACTIVIDADES!$I6=R$4,"●",IF(AND(ACTIVIDADES!$H6&lt;=R$4,ACTIVIDADES!$I6&gt;=R$4),"·","")))</f>
        <v/>
      </c>
      <c r="T6" s="8" t="str">
        <f>IF(OR(ACTIVIDADES!$I6="",S$4=""),"",IF(ACTIVIDADES!$I6=S$4,"●",IF(AND(ACTIVIDADES!$H6&lt;=S$4,ACTIVIDADES!$I6&gt;=S$4),"·","")))</f>
        <v/>
      </c>
      <c r="U6" s="8" t="str">
        <f>IF(OR(ACTIVIDADES!$I6="",T$4=""),"",IF(ACTIVIDADES!$I6=T$4,"●",IF(AND(ACTIVIDADES!$H6&lt;=T$4,ACTIVIDADES!$I6&gt;=T$4),"·","")))</f>
        <v/>
      </c>
      <c r="V6" s="8" t="str">
        <f>IF(OR(ACTIVIDADES!$I6="",U$4=""),"",IF(ACTIVIDADES!$I6=U$4,"●",IF(AND(ACTIVIDADES!$H6&lt;=U$4,ACTIVIDADES!$I6&gt;=U$4),"·","")))</f>
        <v/>
      </c>
      <c r="W6" s="8" t="str">
        <f>IF(OR(ACTIVIDADES!$I6="",V$4=""),"",IF(ACTIVIDADES!$I6=V$4,"●",IF(AND(ACTIVIDADES!$H6&lt;=V$4,ACTIVIDADES!$I6&gt;=V$4),"·","")))</f>
        <v/>
      </c>
      <c r="X6" s="8" t="str">
        <f>IF(OR(ACTIVIDADES!$I6="",W$4=""),"",IF(ACTIVIDADES!$I6=W$4,"●",IF(AND(ACTIVIDADES!$H6&lt;=W$4,ACTIVIDADES!$I6&gt;=W$4),"·","")))</f>
        <v/>
      </c>
      <c r="Y6" s="8" t="str">
        <f>IF(OR(ACTIVIDADES!$I6="",X$4=""),"",IF(ACTIVIDADES!$I6=X$4,"●",IF(AND(ACTIVIDADES!$H6&lt;=X$4,ACTIVIDADES!$I6&gt;=X$4),"·","")))</f>
        <v/>
      </c>
      <c r="Z6" s="8" t="str">
        <f>IF(OR(ACTIVIDADES!$I6="",Y$4=""),"",IF(ACTIVIDADES!$I6=Y$4,"●",IF(AND(ACTIVIDADES!$H6&lt;=Y$4,ACTIVIDADES!$I6&gt;=Y$4),"·","")))</f>
        <v/>
      </c>
      <c r="AA6" s="8" t="str">
        <f>IF(OR(ACTIVIDADES!$I6="",Z$4=""),"",IF(ACTIVIDADES!$I6=Z$4,"●",IF(AND(ACTIVIDADES!$H6&lt;=Z$4,ACTIVIDADES!$I6&gt;=Z$4),"·","")))</f>
        <v/>
      </c>
      <c r="AB6" s="8" t="str">
        <f>IF(OR(ACTIVIDADES!$I6="",AA$4=""),"",IF(ACTIVIDADES!$I6=AA$4,"●",IF(AND(ACTIVIDADES!$H6&lt;=AA$4,ACTIVIDADES!$I6&gt;=AA$4),"·","")))</f>
        <v/>
      </c>
      <c r="AC6" s="8" t="str">
        <f>IF(OR(ACTIVIDADES!$I6="",AB$4=""),"",IF(ACTIVIDADES!$I6=AB$4,"●",IF(AND(ACTIVIDADES!$H6&lt;=AB$4,ACTIVIDADES!$I6&gt;=AB$4),"·","")))</f>
        <v/>
      </c>
      <c r="AD6" s="8" t="str">
        <f>IF(OR(ACTIVIDADES!$I6="",AC$4=""),"",IF(ACTIVIDADES!$I6=AC$4,"●",IF(AND(ACTIVIDADES!$H6&lt;=AC$4,ACTIVIDADES!$I6&gt;=AC$4),"·","")))</f>
        <v/>
      </c>
      <c r="AE6" s="8" t="str">
        <f>IF(OR(ACTIVIDADES!$I6="",AD$4=""),"",IF(ACTIVIDADES!$I6=AD$4,"●",IF(AND(ACTIVIDADES!$H6&lt;=AD$4,ACTIVIDADES!$I6&gt;=AD$4),"·","")))</f>
        <v/>
      </c>
      <c r="AF6" s="8" t="str">
        <f>IF(OR(ACTIVIDADES!$I6="",AE$4=""),"",IF(ACTIVIDADES!$I6=AE$4,"●",IF(AND(ACTIVIDADES!$H6&lt;=AE$4,ACTIVIDADES!$I6&gt;=AE$4),"·","")))</f>
        <v/>
      </c>
      <c r="AG6" s="8" t="str">
        <f>IF(OR(ACTIVIDADES!$I6="",AF$4=""),"",IF(ACTIVIDADES!$I6=AF$4,"●",IF(AND(ACTIVIDADES!$H6&lt;=AF$4,ACTIVIDADES!$I6&gt;=AF$4),"·","")))</f>
        <v/>
      </c>
      <c r="AH6" s="8" t="str">
        <f>IF(OR(ACTIVIDADES!$I6="",AG$4=""),"",IF(ACTIVIDADES!$I6=AG$4,"●",IF(AND(ACTIVIDADES!$H6&lt;=AG$4,ACTIVIDADES!$I6&gt;=AG$4),"·","")))</f>
        <v/>
      </c>
      <c r="AI6" s="8" t="str">
        <f>IF(OR(ACTIVIDADES!$I6="",AH$4=""),"",IF(ACTIVIDADES!$I6=AH$4,"●",IF(AND(ACTIVIDADES!$H6&lt;=AH$4,ACTIVIDADES!$I6&gt;=AH$4),"·","")))</f>
        <v/>
      </c>
      <c r="AJ6" t="str">
        <f>IF(ACTIVIDADES!K6="","",ACTIVIDADES!K6)</f>
        <v>Cerrado</v>
      </c>
    </row>
    <row r="7" spans="1:36">
      <c r="A7" t="str">
        <f>IF(ACTIVIDADES!A7="","",ACTIVIDADES!A7)</f>
        <v>01.03</v>
      </c>
      <c r="B7" t="str">
        <f>IF(ACTIVIDADES!B7="","",ACTIVIDADES!B7)</f>
        <v>CDJ GUAYAQUIL</v>
      </c>
      <c r="C7" t="str">
        <f>IF(ACTIVIDADES!C7="","",ACTIVIDADES!C7)</f>
        <v>Corte</v>
      </c>
      <c r="D7" t="str">
        <f>IF(ACTIVIDADES!D7="","",ACTIVIDADES!D7)</f>
        <v>Preparar y entregar corte del día 5</v>
      </c>
      <c r="E7" s="8" t="str">
        <f>IF(OR(ACTIVIDADES!$I7="",D$4=""),"",IF(ACTIVIDADES!$I7=D$4,"●",IF(AND(ACTIVIDADES!$H7&lt;=D$4,ACTIVIDADES!$I7&gt;=D$4),"·","")))</f>
        <v/>
      </c>
      <c r="F7" s="8" t="str">
        <f>IF(OR(ACTIVIDADES!$I7="",E$4=""),"",IF(ACTIVIDADES!$I7=E$4,"●",IF(AND(ACTIVIDADES!$H7&lt;=E$4,ACTIVIDADES!$I7&gt;=E$4),"·","")))</f>
        <v/>
      </c>
      <c r="G7" s="8" t="str">
        <f>IF(OR(ACTIVIDADES!$I7="",F$4=""),"",IF(ACTIVIDADES!$I7=F$4,"●",IF(AND(ACTIVIDADES!$H7&lt;=F$4,ACTIVIDADES!$I7&gt;=F$4),"·","")))</f>
        <v/>
      </c>
      <c r="H7" s="8" t="str">
        <f>IF(OR(ACTIVIDADES!$I7="",G$4=""),"",IF(ACTIVIDADES!$I7=G$4,"●",IF(AND(ACTIVIDADES!$H7&lt;=G$4,ACTIVIDADES!$I7&gt;=G$4),"·","")))</f>
        <v/>
      </c>
      <c r="I7" s="8" t="str">
        <f>IF(OR(ACTIVIDADES!$I7="",H$4=""),"",IF(ACTIVIDADES!$I7=H$4,"●",IF(AND(ACTIVIDADES!$H7&lt;=H$4,ACTIVIDADES!$I7&gt;=H$4),"·","")))</f>
        <v/>
      </c>
      <c r="J7" s="8" t="str">
        <f>IF(OR(ACTIVIDADES!$I7="",I$4=""),"",IF(ACTIVIDADES!$I7=I$4,"●",IF(AND(ACTIVIDADES!$H7&lt;=I$4,ACTIVIDADES!$I7&gt;=I$4),"·","")))</f>
        <v>●</v>
      </c>
      <c r="K7" s="8" t="str">
        <f>IF(OR(ACTIVIDADES!$I7="",J$4=""),"",IF(ACTIVIDADES!$I7=J$4,"●",IF(AND(ACTIVIDADES!$H7&lt;=J$4,ACTIVIDADES!$I7&gt;=J$4),"·","")))</f>
        <v/>
      </c>
      <c r="L7" s="8" t="str">
        <f>IF(OR(ACTIVIDADES!$I7="",K$4=""),"",IF(ACTIVIDADES!$I7=K$4,"●",IF(AND(ACTIVIDADES!$H7&lt;=K$4,ACTIVIDADES!$I7&gt;=K$4),"·","")))</f>
        <v/>
      </c>
      <c r="M7" s="8" t="str">
        <f>IF(OR(ACTIVIDADES!$I7="",L$4=""),"",IF(ACTIVIDADES!$I7=L$4,"●",IF(AND(ACTIVIDADES!$H7&lt;=L$4,ACTIVIDADES!$I7&gt;=L$4),"·","")))</f>
        <v/>
      </c>
      <c r="N7" s="8" t="str">
        <f>IF(OR(ACTIVIDADES!$I7="",M$4=""),"",IF(ACTIVIDADES!$I7=M$4,"●",IF(AND(ACTIVIDADES!$H7&lt;=M$4,ACTIVIDADES!$I7&gt;=M$4),"·","")))</f>
        <v/>
      </c>
      <c r="O7" s="8" t="str">
        <f>IF(OR(ACTIVIDADES!$I7="",N$4=""),"",IF(ACTIVIDADES!$I7=N$4,"●",IF(AND(ACTIVIDADES!$H7&lt;=N$4,ACTIVIDADES!$I7&gt;=N$4),"·","")))</f>
        <v/>
      </c>
      <c r="P7" s="8" t="str">
        <f>IF(OR(ACTIVIDADES!$I7="",O$4=""),"",IF(ACTIVIDADES!$I7=O$4,"●",IF(AND(ACTIVIDADES!$H7&lt;=O$4,ACTIVIDADES!$I7&gt;=O$4),"·","")))</f>
        <v/>
      </c>
      <c r="Q7" s="8" t="str">
        <f>IF(OR(ACTIVIDADES!$I7="",P$4=""),"",IF(ACTIVIDADES!$I7=P$4,"●",IF(AND(ACTIVIDADES!$H7&lt;=P$4,ACTIVIDADES!$I7&gt;=P$4),"·","")))</f>
        <v/>
      </c>
      <c r="R7" s="8" t="str">
        <f>IF(OR(ACTIVIDADES!$I7="",Q$4=""),"",IF(ACTIVIDADES!$I7=Q$4,"●",IF(AND(ACTIVIDADES!$H7&lt;=Q$4,ACTIVIDADES!$I7&gt;=Q$4),"·","")))</f>
        <v/>
      </c>
      <c r="S7" s="8" t="str">
        <f>IF(OR(ACTIVIDADES!$I7="",R$4=""),"",IF(ACTIVIDADES!$I7=R$4,"●",IF(AND(ACTIVIDADES!$H7&lt;=R$4,ACTIVIDADES!$I7&gt;=R$4),"·","")))</f>
        <v/>
      </c>
      <c r="T7" s="8" t="str">
        <f>IF(OR(ACTIVIDADES!$I7="",S$4=""),"",IF(ACTIVIDADES!$I7=S$4,"●",IF(AND(ACTIVIDADES!$H7&lt;=S$4,ACTIVIDADES!$I7&gt;=S$4),"·","")))</f>
        <v/>
      </c>
      <c r="U7" s="8" t="str">
        <f>IF(OR(ACTIVIDADES!$I7="",T$4=""),"",IF(ACTIVIDADES!$I7=T$4,"●",IF(AND(ACTIVIDADES!$H7&lt;=T$4,ACTIVIDADES!$I7&gt;=T$4),"·","")))</f>
        <v/>
      </c>
      <c r="V7" s="8" t="str">
        <f>IF(OR(ACTIVIDADES!$I7="",U$4=""),"",IF(ACTIVIDADES!$I7=U$4,"●",IF(AND(ACTIVIDADES!$H7&lt;=U$4,ACTIVIDADES!$I7&gt;=U$4),"·","")))</f>
        <v/>
      </c>
      <c r="W7" s="8" t="str">
        <f>IF(OR(ACTIVIDADES!$I7="",V$4=""),"",IF(ACTIVIDADES!$I7=V$4,"●",IF(AND(ACTIVIDADES!$H7&lt;=V$4,ACTIVIDADES!$I7&gt;=V$4),"·","")))</f>
        <v/>
      </c>
      <c r="X7" s="8" t="str">
        <f>IF(OR(ACTIVIDADES!$I7="",W$4=""),"",IF(ACTIVIDADES!$I7=W$4,"●",IF(AND(ACTIVIDADES!$H7&lt;=W$4,ACTIVIDADES!$I7&gt;=W$4),"·","")))</f>
        <v/>
      </c>
      <c r="Y7" s="8" t="str">
        <f>IF(OR(ACTIVIDADES!$I7="",X$4=""),"",IF(ACTIVIDADES!$I7=X$4,"●",IF(AND(ACTIVIDADES!$H7&lt;=X$4,ACTIVIDADES!$I7&gt;=X$4),"·","")))</f>
        <v/>
      </c>
      <c r="Z7" s="8" t="str">
        <f>IF(OR(ACTIVIDADES!$I7="",Y$4=""),"",IF(ACTIVIDADES!$I7=Y$4,"●",IF(AND(ACTIVIDADES!$H7&lt;=Y$4,ACTIVIDADES!$I7&gt;=Y$4),"·","")))</f>
        <v/>
      </c>
      <c r="AA7" s="8" t="str">
        <f>IF(OR(ACTIVIDADES!$I7="",Z$4=""),"",IF(ACTIVIDADES!$I7=Z$4,"●",IF(AND(ACTIVIDADES!$H7&lt;=Z$4,ACTIVIDADES!$I7&gt;=Z$4),"·","")))</f>
        <v/>
      </c>
      <c r="AB7" s="8" t="str">
        <f>IF(OR(ACTIVIDADES!$I7="",AA$4=""),"",IF(ACTIVIDADES!$I7=AA$4,"●",IF(AND(ACTIVIDADES!$H7&lt;=AA$4,ACTIVIDADES!$I7&gt;=AA$4),"·","")))</f>
        <v/>
      </c>
      <c r="AC7" s="8" t="str">
        <f>IF(OR(ACTIVIDADES!$I7="",AB$4=""),"",IF(ACTIVIDADES!$I7=AB$4,"●",IF(AND(ACTIVIDADES!$H7&lt;=AB$4,ACTIVIDADES!$I7&gt;=AB$4),"·","")))</f>
        <v/>
      </c>
      <c r="AD7" s="8" t="str">
        <f>IF(OR(ACTIVIDADES!$I7="",AC$4=""),"",IF(ACTIVIDADES!$I7=AC$4,"●",IF(AND(ACTIVIDADES!$H7&lt;=AC$4,ACTIVIDADES!$I7&gt;=AC$4),"·","")))</f>
        <v/>
      </c>
      <c r="AE7" s="8" t="str">
        <f>IF(OR(ACTIVIDADES!$I7="",AD$4=""),"",IF(ACTIVIDADES!$I7=AD$4,"●",IF(AND(ACTIVIDADES!$H7&lt;=AD$4,ACTIVIDADES!$I7&gt;=AD$4),"·","")))</f>
        <v/>
      </c>
      <c r="AF7" s="8" t="str">
        <f>IF(OR(ACTIVIDADES!$I7="",AE$4=""),"",IF(ACTIVIDADES!$I7=AE$4,"●",IF(AND(ACTIVIDADES!$H7&lt;=AE$4,ACTIVIDADES!$I7&gt;=AE$4),"·","")))</f>
        <v/>
      </c>
      <c r="AG7" s="8" t="str">
        <f>IF(OR(ACTIVIDADES!$I7="",AF$4=""),"",IF(ACTIVIDADES!$I7=AF$4,"●",IF(AND(ACTIVIDADES!$H7&lt;=AF$4,ACTIVIDADES!$I7&gt;=AF$4),"·","")))</f>
        <v/>
      </c>
      <c r="AH7" s="8" t="str">
        <f>IF(OR(ACTIVIDADES!$I7="",AG$4=""),"",IF(ACTIVIDADES!$I7=AG$4,"●",IF(AND(ACTIVIDADES!$H7&lt;=AG$4,ACTIVIDADES!$I7&gt;=AG$4),"·","")))</f>
        <v/>
      </c>
      <c r="AI7" s="8" t="str">
        <f>IF(OR(ACTIVIDADES!$I7="",AH$4=""),"",IF(ACTIVIDADES!$I7=AH$4,"●",IF(AND(ACTIVIDADES!$H7&lt;=AH$4,ACTIVIDADES!$I7&gt;=AH$4),"·","")))</f>
        <v/>
      </c>
      <c r="AJ7" t="str">
        <f>IF(ACTIVIDADES!K7="","",ACTIVIDADES!K7)</f>
        <v>Cerrado</v>
      </c>
    </row>
    <row r="8" spans="1:36">
      <c r="A8" t="str">
        <f>IF(ACTIVIDADES!A8="","",ACTIVIDADES!A8)</f>
        <v>01.04</v>
      </c>
      <c r="B8" t="str">
        <f>IF(ACTIVIDADES!B8="","",ACTIVIDADES!B8)</f>
        <v>CDJ GUAYAQUIL</v>
      </c>
      <c r="C8" t="str">
        <f>IF(ACTIVIDADES!C8="","",ACTIVIDADES!C8)</f>
        <v>Corte</v>
      </c>
      <c r="D8" t="str">
        <f>IF(ACTIVIDADES!D8="","",ACTIVIDADES!D8)</f>
        <v>Preparar y entregar corte del día 10</v>
      </c>
      <c r="E8" s="8" t="str">
        <f>IF(OR(ACTIVIDADES!$I8="",D$4=""),"",IF(ACTIVIDADES!$I8=D$4,"●",IF(AND(ACTIVIDADES!$H8&lt;=D$4,ACTIVIDADES!$I8&gt;=D$4),"·","")))</f>
        <v/>
      </c>
      <c r="F8" s="8" t="str">
        <f>IF(OR(ACTIVIDADES!$I8="",E$4=""),"",IF(ACTIVIDADES!$I8=E$4,"●",IF(AND(ACTIVIDADES!$H8&lt;=E$4,ACTIVIDADES!$I8&gt;=E$4),"·","")))</f>
        <v/>
      </c>
      <c r="G8" s="8" t="str">
        <f>IF(OR(ACTIVIDADES!$I8="",F$4=""),"",IF(ACTIVIDADES!$I8=F$4,"●",IF(AND(ACTIVIDADES!$H8&lt;=F$4,ACTIVIDADES!$I8&gt;=F$4),"·","")))</f>
        <v/>
      </c>
      <c r="H8" s="8" t="str">
        <f>IF(OR(ACTIVIDADES!$I8="",G$4=""),"",IF(ACTIVIDADES!$I8=G$4,"●",IF(AND(ACTIVIDADES!$H8&lt;=G$4,ACTIVIDADES!$I8&gt;=G$4),"·","")))</f>
        <v/>
      </c>
      <c r="I8" s="8" t="str">
        <f>IF(OR(ACTIVIDADES!$I8="",H$4=""),"",IF(ACTIVIDADES!$I8=H$4,"●",IF(AND(ACTIVIDADES!$H8&lt;=H$4,ACTIVIDADES!$I8&gt;=H$4),"·","")))</f>
        <v/>
      </c>
      <c r="J8" s="8" t="str">
        <f>IF(OR(ACTIVIDADES!$I8="",I$4=""),"",IF(ACTIVIDADES!$I8=I$4,"●",IF(AND(ACTIVIDADES!$H8&lt;=I$4,ACTIVIDADES!$I8&gt;=I$4),"·","")))</f>
        <v/>
      </c>
      <c r="K8" s="8" t="str">
        <f>IF(OR(ACTIVIDADES!$I8="",J$4=""),"",IF(ACTIVIDADES!$I8=J$4,"●",IF(AND(ACTIVIDADES!$H8&lt;=J$4,ACTIVIDADES!$I8&gt;=J$4),"·","")))</f>
        <v/>
      </c>
      <c r="L8" s="8" t="str">
        <f>IF(OR(ACTIVIDADES!$I8="",K$4=""),"",IF(ACTIVIDADES!$I8=K$4,"●",IF(AND(ACTIVIDADES!$H8&lt;=K$4,ACTIVIDADES!$I8&gt;=K$4),"·","")))</f>
        <v/>
      </c>
      <c r="M8" s="8" t="str">
        <f>IF(OR(ACTIVIDADES!$I8="",L$4=""),"",IF(ACTIVIDADES!$I8=L$4,"●",IF(AND(ACTIVIDADES!$H8&lt;=L$4,ACTIVIDADES!$I8&gt;=L$4),"·","")))</f>
        <v/>
      </c>
      <c r="N8" s="8" t="str">
        <f>IF(OR(ACTIVIDADES!$I8="",M$4=""),"",IF(ACTIVIDADES!$I8=M$4,"●",IF(AND(ACTIVIDADES!$H8&lt;=M$4,ACTIVIDADES!$I8&gt;=M$4),"·","")))</f>
        <v/>
      </c>
      <c r="O8" s="8" t="str">
        <f>IF(OR(ACTIVIDADES!$I8="",N$4=""),"",IF(ACTIVIDADES!$I8=N$4,"●",IF(AND(ACTIVIDADES!$H8&lt;=N$4,ACTIVIDADES!$I8&gt;=N$4),"·","")))</f>
        <v>●</v>
      </c>
      <c r="P8" s="8" t="str">
        <f>IF(OR(ACTIVIDADES!$I8="",O$4=""),"",IF(ACTIVIDADES!$I8=O$4,"●",IF(AND(ACTIVIDADES!$H8&lt;=O$4,ACTIVIDADES!$I8&gt;=O$4),"·","")))</f>
        <v/>
      </c>
      <c r="Q8" s="8" t="str">
        <f>IF(OR(ACTIVIDADES!$I8="",P$4=""),"",IF(ACTIVIDADES!$I8=P$4,"●",IF(AND(ACTIVIDADES!$H8&lt;=P$4,ACTIVIDADES!$I8&gt;=P$4),"·","")))</f>
        <v/>
      </c>
      <c r="R8" s="8" t="str">
        <f>IF(OR(ACTIVIDADES!$I8="",Q$4=""),"",IF(ACTIVIDADES!$I8=Q$4,"●",IF(AND(ACTIVIDADES!$H8&lt;=Q$4,ACTIVIDADES!$I8&gt;=Q$4),"·","")))</f>
        <v/>
      </c>
      <c r="S8" s="8" t="str">
        <f>IF(OR(ACTIVIDADES!$I8="",R$4=""),"",IF(ACTIVIDADES!$I8=R$4,"●",IF(AND(ACTIVIDADES!$H8&lt;=R$4,ACTIVIDADES!$I8&gt;=R$4),"·","")))</f>
        <v/>
      </c>
      <c r="T8" s="8" t="str">
        <f>IF(OR(ACTIVIDADES!$I8="",S$4=""),"",IF(ACTIVIDADES!$I8=S$4,"●",IF(AND(ACTIVIDADES!$H8&lt;=S$4,ACTIVIDADES!$I8&gt;=S$4),"·","")))</f>
        <v/>
      </c>
      <c r="U8" s="8" t="str">
        <f>IF(OR(ACTIVIDADES!$I8="",T$4=""),"",IF(ACTIVIDADES!$I8=T$4,"●",IF(AND(ACTIVIDADES!$H8&lt;=T$4,ACTIVIDADES!$I8&gt;=T$4),"·","")))</f>
        <v/>
      </c>
      <c r="V8" s="8" t="str">
        <f>IF(OR(ACTIVIDADES!$I8="",U$4=""),"",IF(ACTIVIDADES!$I8=U$4,"●",IF(AND(ACTIVIDADES!$H8&lt;=U$4,ACTIVIDADES!$I8&gt;=U$4),"·","")))</f>
        <v/>
      </c>
      <c r="W8" s="8" t="str">
        <f>IF(OR(ACTIVIDADES!$I8="",V$4=""),"",IF(ACTIVIDADES!$I8=V$4,"●",IF(AND(ACTIVIDADES!$H8&lt;=V$4,ACTIVIDADES!$I8&gt;=V$4),"·","")))</f>
        <v/>
      </c>
      <c r="X8" s="8" t="str">
        <f>IF(OR(ACTIVIDADES!$I8="",W$4=""),"",IF(ACTIVIDADES!$I8=W$4,"●",IF(AND(ACTIVIDADES!$H8&lt;=W$4,ACTIVIDADES!$I8&gt;=W$4),"·","")))</f>
        <v/>
      </c>
      <c r="Y8" s="8" t="str">
        <f>IF(OR(ACTIVIDADES!$I8="",X$4=""),"",IF(ACTIVIDADES!$I8=X$4,"●",IF(AND(ACTIVIDADES!$H8&lt;=X$4,ACTIVIDADES!$I8&gt;=X$4),"·","")))</f>
        <v/>
      </c>
      <c r="Z8" s="8" t="str">
        <f>IF(OR(ACTIVIDADES!$I8="",Y$4=""),"",IF(ACTIVIDADES!$I8=Y$4,"●",IF(AND(ACTIVIDADES!$H8&lt;=Y$4,ACTIVIDADES!$I8&gt;=Y$4),"·","")))</f>
        <v/>
      </c>
      <c r="AA8" s="8" t="str">
        <f>IF(OR(ACTIVIDADES!$I8="",Z$4=""),"",IF(ACTIVIDADES!$I8=Z$4,"●",IF(AND(ACTIVIDADES!$H8&lt;=Z$4,ACTIVIDADES!$I8&gt;=Z$4),"·","")))</f>
        <v/>
      </c>
      <c r="AB8" s="8" t="str">
        <f>IF(OR(ACTIVIDADES!$I8="",AA$4=""),"",IF(ACTIVIDADES!$I8=AA$4,"●",IF(AND(ACTIVIDADES!$H8&lt;=AA$4,ACTIVIDADES!$I8&gt;=AA$4),"·","")))</f>
        <v/>
      </c>
      <c r="AC8" s="8" t="str">
        <f>IF(OR(ACTIVIDADES!$I8="",AB$4=""),"",IF(ACTIVIDADES!$I8=AB$4,"●",IF(AND(ACTIVIDADES!$H8&lt;=AB$4,ACTIVIDADES!$I8&gt;=AB$4),"·","")))</f>
        <v/>
      </c>
      <c r="AD8" s="8" t="str">
        <f>IF(OR(ACTIVIDADES!$I8="",AC$4=""),"",IF(ACTIVIDADES!$I8=AC$4,"●",IF(AND(ACTIVIDADES!$H8&lt;=AC$4,ACTIVIDADES!$I8&gt;=AC$4),"·","")))</f>
        <v/>
      </c>
      <c r="AE8" s="8" t="str">
        <f>IF(OR(ACTIVIDADES!$I8="",AD$4=""),"",IF(ACTIVIDADES!$I8=AD$4,"●",IF(AND(ACTIVIDADES!$H8&lt;=AD$4,ACTIVIDADES!$I8&gt;=AD$4),"·","")))</f>
        <v/>
      </c>
      <c r="AF8" s="8" t="str">
        <f>IF(OR(ACTIVIDADES!$I8="",AE$4=""),"",IF(ACTIVIDADES!$I8=AE$4,"●",IF(AND(ACTIVIDADES!$H8&lt;=AE$4,ACTIVIDADES!$I8&gt;=AE$4),"·","")))</f>
        <v/>
      </c>
      <c r="AG8" s="8" t="str">
        <f>IF(OR(ACTIVIDADES!$I8="",AF$4=""),"",IF(ACTIVIDADES!$I8=AF$4,"●",IF(AND(ACTIVIDADES!$H8&lt;=AF$4,ACTIVIDADES!$I8&gt;=AF$4),"·","")))</f>
        <v/>
      </c>
      <c r="AH8" s="8" t="str">
        <f>IF(OR(ACTIVIDADES!$I8="",AG$4=""),"",IF(ACTIVIDADES!$I8=AG$4,"●",IF(AND(ACTIVIDADES!$H8&lt;=AG$4,ACTIVIDADES!$I8&gt;=AG$4),"·","")))</f>
        <v/>
      </c>
      <c r="AI8" s="8" t="str">
        <f>IF(OR(ACTIVIDADES!$I8="",AH$4=""),"",IF(ACTIVIDADES!$I8=AH$4,"●",IF(AND(ACTIVIDADES!$H8&lt;=AH$4,ACTIVIDADES!$I8&gt;=AH$4),"·","")))</f>
        <v/>
      </c>
      <c r="AJ8" t="str">
        <f>IF(ACTIVIDADES!K8="","",ACTIVIDADES!K8)</f>
        <v>Cerrado</v>
      </c>
    </row>
    <row r="9" spans="1:36">
      <c r="A9" t="str">
        <f>IF(ACTIVIDADES!A9="","",ACTIVIDADES!A9)</f>
        <v>01.05</v>
      </c>
      <c r="B9" t="str">
        <f>IF(ACTIVIDADES!B9="","",ACTIVIDADES!B9)</f>
        <v>CDJ GUAYAQUIL</v>
      </c>
      <c r="C9" t="str">
        <f>IF(ACTIVIDADES!C9="","",ACTIVIDADES!C9)</f>
        <v>Corte</v>
      </c>
      <c r="D9" t="str">
        <f>IF(ACTIVIDADES!D9="","",ACTIVIDADES!D9)</f>
        <v>Preparar y entregar corte del día 20</v>
      </c>
      <c r="E9" s="8" t="str">
        <f>IF(OR(ACTIVIDADES!$I9="",D$4=""),"",IF(ACTIVIDADES!$I9=D$4,"●",IF(AND(ACTIVIDADES!$H9&lt;=D$4,ACTIVIDADES!$I9&gt;=D$4),"·","")))</f>
        <v/>
      </c>
      <c r="F9" s="8" t="str">
        <f>IF(OR(ACTIVIDADES!$I9="",E$4=""),"",IF(ACTIVIDADES!$I9=E$4,"●",IF(AND(ACTIVIDADES!$H9&lt;=E$4,ACTIVIDADES!$I9&gt;=E$4),"·","")))</f>
        <v/>
      </c>
      <c r="G9" s="8" t="str">
        <f>IF(OR(ACTIVIDADES!$I9="",F$4=""),"",IF(ACTIVIDADES!$I9=F$4,"●",IF(AND(ACTIVIDADES!$H9&lt;=F$4,ACTIVIDADES!$I9&gt;=F$4),"·","")))</f>
        <v/>
      </c>
      <c r="H9" s="8" t="str">
        <f>IF(OR(ACTIVIDADES!$I9="",G$4=""),"",IF(ACTIVIDADES!$I9=G$4,"●",IF(AND(ACTIVIDADES!$H9&lt;=G$4,ACTIVIDADES!$I9&gt;=G$4),"·","")))</f>
        <v/>
      </c>
      <c r="I9" s="8" t="str">
        <f>IF(OR(ACTIVIDADES!$I9="",H$4=""),"",IF(ACTIVIDADES!$I9=H$4,"●",IF(AND(ACTIVIDADES!$H9&lt;=H$4,ACTIVIDADES!$I9&gt;=H$4),"·","")))</f>
        <v/>
      </c>
      <c r="J9" s="8" t="str">
        <f>IF(OR(ACTIVIDADES!$I9="",I$4=""),"",IF(ACTIVIDADES!$I9=I$4,"●",IF(AND(ACTIVIDADES!$H9&lt;=I$4,ACTIVIDADES!$I9&gt;=I$4),"·","")))</f>
        <v/>
      </c>
      <c r="K9" s="8" t="str">
        <f>IF(OR(ACTIVIDADES!$I9="",J$4=""),"",IF(ACTIVIDADES!$I9=J$4,"●",IF(AND(ACTIVIDADES!$H9&lt;=J$4,ACTIVIDADES!$I9&gt;=J$4),"·","")))</f>
        <v/>
      </c>
      <c r="L9" s="8" t="str">
        <f>IF(OR(ACTIVIDADES!$I9="",K$4=""),"",IF(ACTIVIDADES!$I9=K$4,"●",IF(AND(ACTIVIDADES!$H9&lt;=K$4,ACTIVIDADES!$I9&gt;=K$4),"·","")))</f>
        <v/>
      </c>
      <c r="M9" s="8" t="str">
        <f>IF(OR(ACTIVIDADES!$I9="",L$4=""),"",IF(ACTIVIDADES!$I9=L$4,"●",IF(AND(ACTIVIDADES!$H9&lt;=L$4,ACTIVIDADES!$I9&gt;=L$4),"·","")))</f>
        <v/>
      </c>
      <c r="N9" s="8" t="str">
        <f>IF(OR(ACTIVIDADES!$I9="",M$4=""),"",IF(ACTIVIDADES!$I9=M$4,"●",IF(AND(ACTIVIDADES!$H9&lt;=M$4,ACTIVIDADES!$I9&gt;=M$4),"·","")))</f>
        <v/>
      </c>
      <c r="O9" s="8" t="str">
        <f>IF(OR(ACTIVIDADES!$I9="",N$4=""),"",IF(ACTIVIDADES!$I9=N$4,"●",IF(AND(ACTIVIDADES!$H9&lt;=N$4,ACTIVIDADES!$I9&gt;=N$4),"·","")))</f>
        <v/>
      </c>
      <c r="P9" s="8" t="str">
        <f>IF(OR(ACTIVIDADES!$I9="",O$4=""),"",IF(ACTIVIDADES!$I9=O$4,"●",IF(AND(ACTIVIDADES!$H9&lt;=O$4,ACTIVIDADES!$I9&gt;=O$4),"·","")))</f>
        <v/>
      </c>
      <c r="Q9" s="8" t="str">
        <f>IF(OR(ACTIVIDADES!$I9="",P$4=""),"",IF(ACTIVIDADES!$I9=P$4,"●",IF(AND(ACTIVIDADES!$H9&lt;=P$4,ACTIVIDADES!$I9&gt;=P$4),"·","")))</f>
        <v/>
      </c>
      <c r="R9" s="8" t="str">
        <f>IF(OR(ACTIVIDADES!$I9="",Q$4=""),"",IF(ACTIVIDADES!$I9=Q$4,"●",IF(AND(ACTIVIDADES!$H9&lt;=Q$4,ACTIVIDADES!$I9&gt;=Q$4),"·","")))</f>
        <v/>
      </c>
      <c r="S9" s="8" t="str">
        <f>IF(OR(ACTIVIDADES!$I9="",R$4=""),"",IF(ACTIVIDADES!$I9=R$4,"●",IF(AND(ACTIVIDADES!$H9&lt;=R$4,ACTIVIDADES!$I9&gt;=R$4),"·","")))</f>
        <v/>
      </c>
      <c r="T9" s="8" t="str">
        <f>IF(OR(ACTIVIDADES!$I9="",S$4=""),"",IF(ACTIVIDADES!$I9=S$4,"●",IF(AND(ACTIVIDADES!$H9&lt;=S$4,ACTIVIDADES!$I9&gt;=S$4),"·","")))</f>
        <v/>
      </c>
      <c r="U9" s="8" t="str">
        <f>IF(OR(ACTIVIDADES!$I9="",T$4=""),"",IF(ACTIVIDADES!$I9=T$4,"●",IF(AND(ACTIVIDADES!$H9&lt;=T$4,ACTIVIDADES!$I9&gt;=T$4),"·","")))</f>
        <v/>
      </c>
      <c r="V9" s="8" t="str">
        <f>IF(OR(ACTIVIDADES!$I9="",U$4=""),"",IF(ACTIVIDADES!$I9=U$4,"●",IF(AND(ACTIVIDADES!$H9&lt;=U$4,ACTIVIDADES!$I9&gt;=U$4),"·","")))</f>
        <v/>
      </c>
      <c r="W9" s="8" t="str">
        <f>IF(OR(ACTIVIDADES!$I9="",V$4=""),"",IF(ACTIVIDADES!$I9=V$4,"●",IF(AND(ACTIVIDADES!$H9&lt;=V$4,ACTIVIDADES!$I9&gt;=V$4),"·","")))</f>
        <v/>
      </c>
      <c r="X9" s="8" t="str">
        <f>IF(OR(ACTIVIDADES!$I9="",W$4=""),"",IF(ACTIVIDADES!$I9=W$4,"●",IF(AND(ACTIVIDADES!$H9&lt;=W$4,ACTIVIDADES!$I9&gt;=W$4),"·","")))</f>
        <v/>
      </c>
      <c r="Y9" s="8" t="str">
        <f>IF(OR(ACTIVIDADES!$I9="",X$4=""),"",IF(ACTIVIDADES!$I9=X$4,"●",IF(AND(ACTIVIDADES!$H9&lt;=X$4,ACTIVIDADES!$I9&gt;=X$4),"·","")))</f>
        <v>●</v>
      </c>
      <c r="Z9" s="8" t="str">
        <f>IF(OR(ACTIVIDADES!$I9="",Y$4=""),"",IF(ACTIVIDADES!$I9=Y$4,"●",IF(AND(ACTIVIDADES!$H9&lt;=Y$4,ACTIVIDADES!$I9&gt;=Y$4),"·","")))</f>
        <v/>
      </c>
      <c r="AA9" s="8" t="str">
        <f>IF(OR(ACTIVIDADES!$I9="",Z$4=""),"",IF(ACTIVIDADES!$I9=Z$4,"●",IF(AND(ACTIVIDADES!$H9&lt;=Z$4,ACTIVIDADES!$I9&gt;=Z$4),"·","")))</f>
        <v/>
      </c>
      <c r="AB9" s="8" t="str">
        <f>IF(OR(ACTIVIDADES!$I9="",AA$4=""),"",IF(ACTIVIDADES!$I9=AA$4,"●",IF(AND(ACTIVIDADES!$H9&lt;=AA$4,ACTIVIDADES!$I9&gt;=AA$4),"·","")))</f>
        <v/>
      </c>
      <c r="AC9" s="8" t="str">
        <f>IF(OR(ACTIVIDADES!$I9="",AB$4=""),"",IF(ACTIVIDADES!$I9=AB$4,"●",IF(AND(ACTIVIDADES!$H9&lt;=AB$4,ACTIVIDADES!$I9&gt;=AB$4),"·","")))</f>
        <v/>
      </c>
      <c r="AD9" s="8" t="str">
        <f>IF(OR(ACTIVIDADES!$I9="",AC$4=""),"",IF(ACTIVIDADES!$I9=AC$4,"●",IF(AND(ACTIVIDADES!$H9&lt;=AC$4,ACTIVIDADES!$I9&gt;=AC$4),"·","")))</f>
        <v/>
      </c>
      <c r="AE9" s="8" t="str">
        <f>IF(OR(ACTIVIDADES!$I9="",AD$4=""),"",IF(ACTIVIDADES!$I9=AD$4,"●",IF(AND(ACTIVIDADES!$H9&lt;=AD$4,ACTIVIDADES!$I9&gt;=AD$4),"·","")))</f>
        <v/>
      </c>
      <c r="AF9" s="8" t="str">
        <f>IF(OR(ACTIVIDADES!$I9="",AE$4=""),"",IF(ACTIVIDADES!$I9=AE$4,"●",IF(AND(ACTIVIDADES!$H9&lt;=AE$4,ACTIVIDADES!$I9&gt;=AE$4),"·","")))</f>
        <v/>
      </c>
      <c r="AG9" s="8" t="str">
        <f>IF(OR(ACTIVIDADES!$I9="",AF$4=""),"",IF(ACTIVIDADES!$I9=AF$4,"●",IF(AND(ACTIVIDADES!$H9&lt;=AF$4,ACTIVIDADES!$I9&gt;=AF$4),"·","")))</f>
        <v/>
      </c>
      <c r="AH9" s="8" t="str">
        <f>IF(OR(ACTIVIDADES!$I9="",AG$4=""),"",IF(ACTIVIDADES!$I9=AG$4,"●",IF(AND(ACTIVIDADES!$H9&lt;=AG$4,ACTIVIDADES!$I9&gt;=AG$4),"·","")))</f>
        <v/>
      </c>
      <c r="AI9" s="8" t="str">
        <f>IF(OR(ACTIVIDADES!$I9="",AH$4=""),"",IF(ACTIVIDADES!$I9=AH$4,"●",IF(AND(ACTIVIDADES!$H9&lt;=AH$4,ACTIVIDADES!$I9&gt;=AH$4),"·","")))</f>
        <v/>
      </c>
      <c r="AJ9" t="str">
        <f>IF(ACTIVIDADES!K9="","",ACTIVIDADES!K9)</f>
        <v>Pendiente</v>
      </c>
    </row>
    <row r="10" spans="1:36">
      <c r="A10" t="str">
        <f>IF(ACTIVIDADES!A10="","",ACTIVIDADES!A10)</f>
        <v>01.06</v>
      </c>
      <c r="B10" t="str">
        <f>IF(ACTIVIDADES!B10="","",ACTIVIDADES!B10)</f>
        <v>CDJ GUAYAQUIL</v>
      </c>
      <c r="C10" t="str">
        <f>IF(ACTIVIDADES!C10="","",ACTIVIDADES!C10)</f>
        <v>Corte</v>
      </c>
      <c r="D10" t="str">
        <f>IF(ACTIVIDADES!D10="","",ACTIVIDADES!D10)</f>
        <v>Preparar y entregar corte del día 26</v>
      </c>
      <c r="E10" s="8" t="str">
        <f>IF(OR(ACTIVIDADES!$I10="",D$4=""),"",IF(ACTIVIDADES!$I10=D$4,"●",IF(AND(ACTIVIDADES!$H10&lt;=D$4,ACTIVIDADES!$I10&gt;=D$4),"·","")))</f>
        <v/>
      </c>
      <c r="F10" s="8" t="str">
        <f>IF(OR(ACTIVIDADES!$I10="",E$4=""),"",IF(ACTIVIDADES!$I10=E$4,"●",IF(AND(ACTIVIDADES!$H10&lt;=E$4,ACTIVIDADES!$I10&gt;=E$4),"·","")))</f>
        <v/>
      </c>
      <c r="G10" s="8" t="str">
        <f>IF(OR(ACTIVIDADES!$I10="",F$4=""),"",IF(ACTIVIDADES!$I10=F$4,"●",IF(AND(ACTIVIDADES!$H10&lt;=F$4,ACTIVIDADES!$I10&gt;=F$4),"·","")))</f>
        <v/>
      </c>
      <c r="H10" s="8" t="str">
        <f>IF(OR(ACTIVIDADES!$I10="",G$4=""),"",IF(ACTIVIDADES!$I10=G$4,"●",IF(AND(ACTIVIDADES!$H10&lt;=G$4,ACTIVIDADES!$I10&gt;=G$4),"·","")))</f>
        <v/>
      </c>
      <c r="I10" s="8" t="str">
        <f>IF(OR(ACTIVIDADES!$I10="",H$4=""),"",IF(ACTIVIDADES!$I10=H$4,"●",IF(AND(ACTIVIDADES!$H10&lt;=H$4,ACTIVIDADES!$I10&gt;=H$4),"·","")))</f>
        <v/>
      </c>
      <c r="J10" s="8" t="str">
        <f>IF(OR(ACTIVIDADES!$I10="",I$4=""),"",IF(ACTIVIDADES!$I10=I$4,"●",IF(AND(ACTIVIDADES!$H10&lt;=I$4,ACTIVIDADES!$I10&gt;=I$4),"·","")))</f>
        <v/>
      </c>
      <c r="K10" s="8" t="str">
        <f>IF(OR(ACTIVIDADES!$I10="",J$4=""),"",IF(ACTIVIDADES!$I10=J$4,"●",IF(AND(ACTIVIDADES!$H10&lt;=J$4,ACTIVIDADES!$I10&gt;=J$4),"·","")))</f>
        <v/>
      </c>
      <c r="L10" s="8" t="str">
        <f>IF(OR(ACTIVIDADES!$I10="",K$4=""),"",IF(ACTIVIDADES!$I10=K$4,"●",IF(AND(ACTIVIDADES!$H10&lt;=K$4,ACTIVIDADES!$I10&gt;=K$4),"·","")))</f>
        <v/>
      </c>
      <c r="M10" s="8" t="str">
        <f>IF(OR(ACTIVIDADES!$I10="",L$4=""),"",IF(ACTIVIDADES!$I10=L$4,"●",IF(AND(ACTIVIDADES!$H10&lt;=L$4,ACTIVIDADES!$I10&gt;=L$4),"·","")))</f>
        <v/>
      </c>
      <c r="N10" s="8" t="str">
        <f>IF(OR(ACTIVIDADES!$I10="",M$4=""),"",IF(ACTIVIDADES!$I10=M$4,"●",IF(AND(ACTIVIDADES!$H10&lt;=M$4,ACTIVIDADES!$I10&gt;=M$4),"·","")))</f>
        <v/>
      </c>
      <c r="O10" s="8" t="str">
        <f>IF(OR(ACTIVIDADES!$I10="",N$4=""),"",IF(ACTIVIDADES!$I10=N$4,"●",IF(AND(ACTIVIDADES!$H10&lt;=N$4,ACTIVIDADES!$I10&gt;=N$4),"·","")))</f>
        <v/>
      </c>
      <c r="P10" s="8" t="str">
        <f>IF(OR(ACTIVIDADES!$I10="",O$4=""),"",IF(ACTIVIDADES!$I10=O$4,"●",IF(AND(ACTIVIDADES!$H10&lt;=O$4,ACTIVIDADES!$I10&gt;=O$4),"·","")))</f>
        <v/>
      </c>
      <c r="Q10" s="8" t="str">
        <f>IF(OR(ACTIVIDADES!$I10="",P$4=""),"",IF(ACTIVIDADES!$I10=P$4,"●",IF(AND(ACTIVIDADES!$H10&lt;=P$4,ACTIVIDADES!$I10&gt;=P$4),"·","")))</f>
        <v/>
      </c>
      <c r="R10" s="8" t="str">
        <f>IF(OR(ACTIVIDADES!$I10="",Q$4=""),"",IF(ACTIVIDADES!$I10=Q$4,"●",IF(AND(ACTIVIDADES!$H10&lt;=Q$4,ACTIVIDADES!$I10&gt;=Q$4),"·","")))</f>
        <v/>
      </c>
      <c r="S10" s="8" t="str">
        <f>IF(OR(ACTIVIDADES!$I10="",R$4=""),"",IF(ACTIVIDADES!$I10=R$4,"●",IF(AND(ACTIVIDADES!$H10&lt;=R$4,ACTIVIDADES!$I10&gt;=R$4),"·","")))</f>
        <v/>
      </c>
      <c r="T10" s="8" t="str">
        <f>IF(OR(ACTIVIDADES!$I10="",S$4=""),"",IF(ACTIVIDADES!$I10=S$4,"●",IF(AND(ACTIVIDADES!$H10&lt;=S$4,ACTIVIDADES!$I10&gt;=S$4),"·","")))</f>
        <v/>
      </c>
      <c r="U10" s="8" t="str">
        <f>IF(OR(ACTIVIDADES!$I10="",T$4=""),"",IF(ACTIVIDADES!$I10=T$4,"●",IF(AND(ACTIVIDADES!$H10&lt;=T$4,ACTIVIDADES!$I10&gt;=T$4),"·","")))</f>
        <v/>
      </c>
      <c r="V10" s="8" t="str">
        <f>IF(OR(ACTIVIDADES!$I10="",U$4=""),"",IF(ACTIVIDADES!$I10=U$4,"●",IF(AND(ACTIVIDADES!$H10&lt;=U$4,ACTIVIDADES!$I10&gt;=U$4),"·","")))</f>
        <v/>
      </c>
      <c r="W10" s="8" t="str">
        <f>IF(OR(ACTIVIDADES!$I10="",V$4=""),"",IF(ACTIVIDADES!$I10=V$4,"●",IF(AND(ACTIVIDADES!$H10&lt;=V$4,ACTIVIDADES!$I10&gt;=V$4),"·","")))</f>
        <v/>
      </c>
      <c r="X10" s="8" t="str">
        <f>IF(OR(ACTIVIDADES!$I10="",W$4=""),"",IF(ACTIVIDADES!$I10=W$4,"●",IF(AND(ACTIVIDADES!$H10&lt;=W$4,ACTIVIDADES!$I10&gt;=W$4),"·","")))</f>
        <v/>
      </c>
      <c r="Y10" s="8" t="str">
        <f>IF(OR(ACTIVIDADES!$I10="",X$4=""),"",IF(ACTIVIDADES!$I10=X$4,"●",IF(AND(ACTIVIDADES!$H10&lt;=X$4,ACTIVIDADES!$I10&gt;=X$4),"·","")))</f>
        <v/>
      </c>
      <c r="Z10" s="8" t="str">
        <f>IF(OR(ACTIVIDADES!$I10="",Y$4=""),"",IF(ACTIVIDADES!$I10=Y$4,"●",IF(AND(ACTIVIDADES!$H10&lt;=Y$4,ACTIVIDADES!$I10&gt;=Y$4),"·","")))</f>
        <v/>
      </c>
      <c r="AA10" s="8" t="str">
        <f>IF(OR(ACTIVIDADES!$I10="",Z$4=""),"",IF(ACTIVIDADES!$I10=Z$4,"●",IF(AND(ACTIVIDADES!$H10&lt;=Z$4,ACTIVIDADES!$I10&gt;=Z$4),"·","")))</f>
        <v/>
      </c>
      <c r="AB10" s="8" t="str">
        <f>IF(OR(ACTIVIDADES!$I10="",AA$4=""),"",IF(ACTIVIDADES!$I10=AA$4,"●",IF(AND(ACTIVIDADES!$H10&lt;=AA$4,ACTIVIDADES!$I10&gt;=AA$4),"·","")))</f>
        <v/>
      </c>
      <c r="AC10" s="8" t="str">
        <f>IF(OR(ACTIVIDADES!$I10="",AB$4=""),"",IF(ACTIVIDADES!$I10=AB$4,"●",IF(AND(ACTIVIDADES!$H10&lt;=AB$4,ACTIVIDADES!$I10&gt;=AB$4),"·","")))</f>
        <v/>
      </c>
      <c r="AD10" s="8" t="str">
        <f>IF(OR(ACTIVIDADES!$I10="",AC$4=""),"",IF(ACTIVIDADES!$I10=AC$4,"●",IF(AND(ACTIVIDADES!$H10&lt;=AC$4,ACTIVIDADES!$I10&gt;=AC$4),"·","")))</f>
        <v/>
      </c>
      <c r="AE10" s="8" t="str">
        <f>IF(OR(ACTIVIDADES!$I10="",AD$4=""),"",IF(ACTIVIDADES!$I10=AD$4,"●",IF(AND(ACTIVIDADES!$H10&lt;=AD$4,ACTIVIDADES!$I10&gt;=AD$4),"·","")))</f>
        <v>●</v>
      </c>
      <c r="AF10" s="8" t="str">
        <f>IF(OR(ACTIVIDADES!$I10="",AE$4=""),"",IF(ACTIVIDADES!$I10=AE$4,"●",IF(AND(ACTIVIDADES!$H10&lt;=AE$4,ACTIVIDADES!$I10&gt;=AE$4),"·","")))</f>
        <v/>
      </c>
      <c r="AG10" s="8" t="str">
        <f>IF(OR(ACTIVIDADES!$I10="",AF$4=""),"",IF(ACTIVIDADES!$I10=AF$4,"●",IF(AND(ACTIVIDADES!$H10&lt;=AF$4,ACTIVIDADES!$I10&gt;=AF$4),"·","")))</f>
        <v/>
      </c>
      <c r="AH10" s="8" t="str">
        <f>IF(OR(ACTIVIDADES!$I10="",AG$4=""),"",IF(ACTIVIDADES!$I10=AG$4,"●",IF(AND(ACTIVIDADES!$H10&lt;=AG$4,ACTIVIDADES!$I10&gt;=AG$4),"·","")))</f>
        <v/>
      </c>
      <c r="AI10" s="8" t="str">
        <f>IF(OR(ACTIVIDADES!$I10="",AH$4=""),"",IF(ACTIVIDADES!$I10=AH$4,"●",IF(AND(ACTIVIDADES!$H10&lt;=AH$4,ACTIVIDADES!$I10&gt;=AH$4),"·","")))</f>
        <v/>
      </c>
      <c r="AJ10" t="str">
        <f>IF(ACTIVIDADES!K10="","",ACTIVIDADES!K10)</f>
        <v>Pendiente</v>
      </c>
    </row>
    <row r="11" spans="1:36">
      <c r="A11" t="str">
        <f>IF(ACTIVIDADES!A11="","",ACTIVIDADES!A11)</f>
        <v>01.07</v>
      </c>
      <c r="B11" t="str">
        <f>IF(ACTIVIDADES!B11="","",ACTIVIDADES!B11)</f>
        <v>CDJ GUAYAQUIL</v>
      </c>
      <c r="C11" t="str">
        <f>IF(ACTIVIDADES!C11="","",ACTIVIDADES!C11)</f>
        <v>Corte</v>
      </c>
      <c r="D11" t="str">
        <f>IF(ACTIVIDADES!D11="","",ACTIVIDADES!D11)</f>
        <v>Preparar y entregar corte del día 30</v>
      </c>
      <c r="E11" s="8" t="str">
        <f>IF(OR(ACTIVIDADES!$I11="",D$4=""),"",IF(ACTIVIDADES!$I11=D$4,"●",IF(AND(ACTIVIDADES!$H11&lt;=D$4,ACTIVIDADES!$I11&gt;=D$4),"·","")))</f>
        <v/>
      </c>
      <c r="F11" s="8" t="str">
        <f>IF(OR(ACTIVIDADES!$I11="",E$4=""),"",IF(ACTIVIDADES!$I11=E$4,"●",IF(AND(ACTIVIDADES!$H11&lt;=E$4,ACTIVIDADES!$I11&gt;=E$4),"·","")))</f>
        <v/>
      </c>
      <c r="G11" s="8" t="str">
        <f>IF(OR(ACTIVIDADES!$I11="",F$4=""),"",IF(ACTIVIDADES!$I11=F$4,"●",IF(AND(ACTIVIDADES!$H11&lt;=F$4,ACTIVIDADES!$I11&gt;=F$4),"·","")))</f>
        <v/>
      </c>
      <c r="H11" s="8" t="str">
        <f>IF(OR(ACTIVIDADES!$I11="",G$4=""),"",IF(ACTIVIDADES!$I11=G$4,"●",IF(AND(ACTIVIDADES!$H11&lt;=G$4,ACTIVIDADES!$I11&gt;=G$4),"·","")))</f>
        <v/>
      </c>
      <c r="I11" s="8" t="str">
        <f>IF(OR(ACTIVIDADES!$I11="",H$4=""),"",IF(ACTIVIDADES!$I11=H$4,"●",IF(AND(ACTIVIDADES!$H11&lt;=H$4,ACTIVIDADES!$I11&gt;=H$4),"·","")))</f>
        <v/>
      </c>
      <c r="J11" s="8" t="str">
        <f>IF(OR(ACTIVIDADES!$I11="",I$4=""),"",IF(ACTIVIDADES!$I11=I$4,"●",IF(AND(ACTIVIDADES!$H11&lt;=I$4,ACTIVIDADES!$I11&gt;=I$4),"·","")))</f>
        <v/>
      </c>
      <c r="K11" s="8" t="str">
        <f>IF(OR(ACTIVIDADES!$I11="",J$4=""),"",IF(ACTIVIDADES!$I11=J$4,"●",IF(AND(ACTIVIDADES!$H11&lt;=J$4,ACTIVIDADES!$I11&gt;=J$4),"·","")))</f>
        <v/>
      </c>
      <c r="L11" s="8" t="str">
        <f>IF(OR(ACTIVIDADES!$I11="",K$4=""),"",IF(ACTIVIDADES!$I11=K$4,"●",IF(AND(ACTIVIDADES!$H11&lt;=K$4,ACTIVIDADES!$I11&gt;=K$4),"·","")))</f>
        <v/>
      </c>
      <c r="M11" s="8" t="str">
        <f>IF(OR(ACTIVIDADES!$I11="",L$4=""),"",IF(ACTIVIDADES!$I11=L$4,"●",IF(AND(ACTIVIDADES!$H11&lt;=L$4,ACTIVIDADES!$I11&gt;=L$4),"·","")))</f>
        <v/>
      </c>
      <c r="N11" s="8" t="str">
        <f>IF(OR(ACTIVIDADES!$I11="",M$4=""),"",IF(ACTIVIDADES!$I11=M$4,"●",IF(AND(ACTIVIDADES!$H11&lt;=M$4,ACTIVIDADES!$I11&gt;=M$4),"·","")))</f>
        <v/>
      </c>
      <c r="O11" s="8" t="str">
        <f>IF(OR(ACTIVIDADES!$I11="",N$4=""),"",IF(ACTIVIDADES!$I11=N$4,"●",IF(AND(ACTIVIDADES!$H11&lt;=N$4,ACTIVIDADES!$I11&gt;=N$4),"·","")))</f>
        <v/>
      </c>
      <c r="P11" s="8" t="str">
        <f>IF(OR(ACTIVIDADES!$I11="",O$4=""),"",IF(ACTIVIDADES!$I11=O$4,"●",IF(AND(ACTIVIDADES!$H11&lt;=O$4,ACTIVIDADES!$I11&gt;=O$4),"·","")))</f>
        <v/>
      </c>
      <c r="Q11" s="8" t="str">
        <f>IF(OR(ACTIVIDADES!$I11="",P$4=""),"",IF(ACTIVIDADES!$I11=P$4,"●",IF(AND(ACTIVIDADES!$H11&lt;=P$4,ACTIVIDADES!$I11&gt;=P$4),"·","")))</f>
        <v/>
      </c>
      <c r="R11" s="8" t="str">
        <f>IF(OR(ACTIVIDADES!$I11="",Q$4=""),"",IF(ACTIVIDADES!$I11=Q$4,"●",IF(AND(ACTIVIDADES!$H11&lt;=Q$4,ACTIVIDADES!$I11&gt;=Q$4),"·","")))</f>
        <v/>
      </c>
      <c r="S11" s="8" t="str">
        <f>IF(OR(ACTIVIDADES!$I11="",R$4=""),"",IF(ACTIVIDADES!$I11=R$4,"●",IF(AND(ACTIVIDADES!$H11&lt;=R$4,ACTIVIDADES!$I11&gt;=R$4),"·","")))</f>
        <v/>
      </c>
      <c r="T11" s="8" t="str">
        <f>IF(OR(ACTIVIDADES!$I11="",S$4=""),"",IF(ACTIVIDADES!$I11=S$4,"●",IF(AND(ACTIVIDADES!$H11&lt;=S$4,ACTIVIDADES!$I11&gt;=S$4),"·","")))</f>
        <v/>
      </c>
      <c r="U11" s="8" t="str">
        <f>IF(OR(ACTIVIDADES!$I11="",T$4=""),"",IF(ACTIVIDADES!$I11=T$4,"●",IF(AND(ACTIVIDADES!$H11&lt;=T$4,ACTIVIDADES!$I11&gt;=T$4),"·","")))</f>
        <v/>
      </c>
      <c r="V11" s="8" t="str">
        <f>IF(OR(ACTIVIDADES!$I11="",U$4=""),"",IF(ACTIVIDADES!$I11=U$4,"●",IF(AND(ACTIVIDADES!$H11&lt;=U$4,ACTIVIDADES!$I11&gt;=U$4),"·","")))</f>
        <v/>
      </c>
      <c r="W11" s="8" t="str">
        <f>IF(OR(ACTIVIDADES!$I11="",V$4=""),"",IF(ACTIVIDADES!$I11=V$4,"●",IF(AND(ACTIVIDADES!$H11&lt;=V$4,ACTIVIDADES!$I11&gt;=V$4),"·","")))</f>
        <v/>
      </c>
      <c r="X11" s="8" t="str">
        <f>IF(OR(ACTIVIDADES!$I11="",W$4=""),"",IF(ACTIVIDADES!$I11=W$4,"●",IF(AND(ACTIVIDADES!$H11&lt;=W$4,ACTIVIDADES!$I11&gt;=W$4),"·","")))</f>
        <v/>
      </c>
      <c r="Y11" s="8" t="str">
        <f>IF(OR(ACTIVIDADES!$I11="",X$4=""),"",IF(ACTIVIDADES!$I11=X$4,"●",IF(AND(ACTIVIDADES!$H11&lt;=X$4,ACTIVIDADES!$I11&gt;=X$4),"·","")))</f>
        <v/>
      </c>
      <c r="Z11" s="8" t="str">
        <f>IF(OR(ACTIVIDADES!$I11="",Y$4=""),"",IF(ACTIVIDADES!$I11=Y$4,"●",IF(AND(ACTIVIDADES!$H11&lt;=Y$4,ACTIVIDADES!$I11&gt;=Y$4),"·","")))</f>
        <v/>
      </c>
      <c r="AA11" s="8" t="str">
        <f>IF(OR(ACTIVIDADES!$I11="",Z$4=""),"",IF(ACTIVIDADES!$I11=Z$4,"●",IF(AND(ACTIVIDADES!$H11&lt;=Z$4,ACTIVIDADES!$I11&gt;=Z$4),"·","")))</f>
        <v/>
      </c>
      <c r="AB11" s="8" t="str">
        <f>IF(OR(ACTIVIDADES!$I11="",AA$4=""),"",IF(ACTIVIDADES!$I11=AA$4,"●",IF(AND(ACTIVIDADES!$H11&lt;=AA$4,ACTIVIDADES!$I11&gt;=AA$4),"·","")))</f>
        <v/>
      </c>
      <c r="AC11" s="8" t="str">
        <f>IF(OR(ACTIVIDADES!$I11="",AB$4=""),"",IF(ACTIVIDADES!$I11=AB$4,"●",IF(AND(ACTIVIDADES!$H11&lt;=AB$4,ACTIVIDADES!$I11&gt;=AB$4),"·","")))</f>
        <v/>
      </c>
      <c r="AD11" s="8" t="str">
        <f>IF(OR(ACTIVIDADES!$I11="",AC$4=""),"",IF(ACTIVIDADES!$I11=AC$4,"●",IF(AND(ACTIVIDADES!$H11&lt;=AC$4,ACTIVIDADES!$I11&gt;=AC$4),"·","")))</f>
        <v/>
      </c>
      <c r="AE11" s="8" t="str">
        <f>IF(OR(ACTIVIDADES!$I11="",AD$4=""),"",IF(ACTIVIDADES!$I11=AD$4,"●",IF(AND(ACTIVIDADES!$H11&lt;=AD$4,ACTIVIDADES!$I11&gt;=AD$4),"·","")))</f>
        <v/>
      </c>
      <c r="AF11" s="8" t="str">
        <f>IF(OR(ACTIVIDADES!$I11="",AE$4=""),"",IF(ACTIVIDADES!$I11=AE$4,"●",IF(AND(ACTIVIDADES!$H11&lt;=AE$4,ACTIVIDADES!$I11&gt;=AE$4),"·","")))</f>
        <v/>
      </c>
      <c r="AG11" s="8" t="str">
        <f>IF(OR(ACTIVIDADES!$I11="",AF$4=""),"",IF(ACTIVIDADES!$I11=AF$4,"●",IF(AND(ACTIVIDADES!$H11&lt;=AF$4,ACTIVIDADES!$I11&gt;=AF$4),"·","")))</f>
        <v/>
      </c>
      <c r="AH11" s="8" t="str">
        <f>IF(OR(ACTIVIDADES!$I11="",AG$4=""),"",IF(ACTIVIDADES!$I11=AG$4,"●",IF(AND(ACTIVIDADES!$H11&lt;=AG$4,ACTIVIDADES!$I11&gt;=AG$4),"·","")))</f>
        <v/>
      </c>
      <c r="AI11" s="8" t="str">
        <f>IF(OR(ACTIVIDADES!$I11="",AH$4=""),"",IF(ACTIVIDADES!$I11=AH$4,"●",IF(AND(ACTIVIDADES!$H11&lt;=AH$4,ACTIVIDADES!$I11&gt;=AH$4),"·","")))</f>
        <v>●</v>
      </c>
      <c r="AJ11" t="str">
        <f>IF(ACTIVIDADES!K11="","",ACTIVIDADES!K11)</f>
        <v>Pendiente</v>
      </c>
    </row>
    <row r="12" spans="1:36">
      <c r="A12" t="str">
        <f>IF(ACTIVIDADES!A12="","",ACTIVIDADES!A12)</f>
        <v>02.01</v>
      </c>
      <c r="B12" t="str">
        <f>IF(ACTIVIDADES!B12="","",ACTIVIDADES!B12)</f>
        <v>CDJ CANTONES</v>
      </c>
      <c r="C12" t="str">
        <f>IF(ACTIVIDADES!C12="","",ACTIVIDADES!C12)</f>
        <v>Informe</v>
      </c>
      <c r="D12" t="str">
        <f>IF(ACTIVIDADES!D12="","",ACTIVIDADES!D12)</f>
        <v>Solicitar y entregar informe mensual</v>
      </c>
      <c r="E12" s="8" t="str">
        <f>IF(OR(ACTIVIDADES!$I12="",D$4=""),"",IF(ACTIVIDADES!$I12=D$4,"●",IF(AND(ACTIVIDADES!$H12&lt;=D$4,ACTIVIDADES!$I12&gt;=D$4),"·","")))</f>
        <v/>
      </c>
      <c r="F12" s="8" t="str">
        <f>IF(OR(ACTIVIDADES!$I12="",E$4=""),"",IF(ACTIVIDADES!$I12=E$4,"●",IF(AND(ACTIVIDADES!$H12&lt;=E$4,ACTIVIDADES!$I12&gt;=E$4),"·","")))</f>
        <v/>
      </c>
      <c r="G12" s="8" t="str">
        <f>IF(OR(ACTIVIDADES!$I12="",F$4=""),"",IF(ACTIVIDADES!$I12=F$4,"●",IF(AND(ACTIVIDADES!$H12&lt;=F$4,ACTIVIDADES!$I12&gt;=F$4),"·","")))</f>
        <v/>
      </c>
      <c r="H12" s="8" t="str">
        <f>IF(OR(ACTIVIDADES!$I12="",G$4=""),"",IF(ACTIVIDADES!$I12=G$4,"●",IF(AND(ACTIVIDADES!$H12&lt;=G$4,ACTIVIDADES!$I12&gt;=G$4),"·","")))</f>
        <v/>
      </c>
      <c r="I12" s="8" t="str">
        <f>IF(OR(ACTIVIDADES!$I12="",H$4=""),"",IF(ACTIVIDADES!$I12=H$4,"●",IF(AND(ACTIVIDADES!$H12&lt;=H$4,ACTIVIDADES!$I12&gt;=H$4),"·","")))</f>
        <v/>
      </c>
      <c r="J12" s="8" t="str">
        <f>IF(OR(ACTIVIDADES!$I12="",I$4=""),"",IF(ACTIVIDADES!$I12=I$4,"●",IF(AND(ACTIVIDADES!$H12&lt;=I$4,ACTIVIDADES!$I12&gt;=I$4),"·","")))</f>
        <v/>
      </c>
      <c r="K12" s="8" t="str">
        <f>IF(OR(ACTIVIDADES!$I12="",J$4=""),"",IF(ACTIVIDADES!$I12=J$4,"●",IF(AND(ACTIVIDADES!$H12&lt;=J$4,ACTIVIDADES!$I12&gt;=J$4),"·","")))</f>
        <v/>
      </c>
      <c r="L12" s="8" t="str">
        <f>IF(OR(ACTIVIDADES!$I12="",K$4=""),"",IF(ACTIVIDADES!$I12=K$4,"●",IF(AND(ACTIVIDADES!$H12&lt;=K$4,ACTIVIDADES!$I12&gt;=K$4),"·","")))</f>
        <v>·</v>
      </c>
      <c r="M12" s="8" t="str">
        <f>IF(OR(ACTIVIDADES!$I12="",L$4=""),"",IF(ACTIVIDADES!$I12=L$4,"●",IF(AND(ACTIVIDADES!$H12&lt;=L$4,ACTIVIDADES!$I12&gt;=L$4),"·","")))</f>
        <v>·</v>
      </c>
      <c r="N12" s="8" t="str">
        <f>IF(OR(ACTIVIDADES!$I12="",M$4=""),"",IF(ACTIVIDADES!$I12=M$4,"●",IF(AND(ACTIVIDADES!$H12&lt;=M$4,ACTIVIDADES!$I12&gt;=M$4),"·","")))</f>
        <v>·</v>
      </c>
      <c r="O12" s="8" t="str">
        <f>IF(OR(ACTIVIDADES!$I12="",N$4=""),"",IF(ACTIVIDADES!$I12=N$4,"●",IF(AND(ACTIVIDADES!$H12&lt;=N$4,ACTIVIDADES!$I12&gt;=N$4),"·","")))</f>
        <v>●</v>
      </c>
      <c r="P12" s="8" t="str">
        <f>IF(OR(ACTIVIDADES!$I12="",O$4=""),"",IF(ACTIVIDADES!$I12=O$4,"●",IF(AND(ACTIVIDADES!$H12&lt;=O$4,ACTIVIDADES!$I12&gt;=O$4),"·","")))</f>
        <v/>
      </c>
      <c r="Q12" s="8" t="str">
        <f>IF(OR(ACTIVIDADES!$I12="",P$4=""),"",IF(ACTIVIDADES!$I12=P$4,"●",IF(AND(ACTIVIDADES!$H12&lt;=P$4,ACTIVIDADES!$I12&gt;=P$4),"·","")))</f>
        <v/>
      </c>
      <c r="R12" s="8" t="str">
        <f>IF(OR(ACTIVIDADES!$I12="",Q$4=""),"",IF(ACTIVIDADES!$I12=Q$4,"●",IF(AND(ACTIVIDADES!$H12&lt;=Q$4,ACTIVIDADES!$I12&gt;=Q$4),"·","")))</f>
        <v/>
      </c>
      <c r="S12" s="8" t="str">
        <f>IF(OR(ACTIVIDADES!$I12="",R$4=""),"",IF(ACTIVIDADES!$I12=R$4,"●",IF(AND(ACTIVIDADES!$H12&lt;=R$4,ACTIVIDADES!$I12&gt;=R$4),"·","")))</f>
        <v/>
      </c>
      <c r="T12" s="8" t="str">
        <f>IF(OR(ACTIVIDADES!$I12="",S$4=""),"",IF(ACTIVIDADES!$I12=S$4,"●",IF(AND(ACTIVIDADES!$H12&lt;=S$4,ACTIVIDADES!$I12&gt;=S$4),"·","")))</f>
        <v/>
      </c>
      <c r="U12" s="8" t="str">
        <f>IF(OR(ACTIVIDADES!$I12="",T$4=""),"",IF(ACTIVIDADES!$I12=T$4,"●",IF(AND(ACTIVIDADES!$H12&lt;=T$4,ACTIVIDADES!$I12&gt;=T$4),"·","")))</f>
        <v/>
      </c>
      <c r="V12" s="8" t="str">
        <f>IF(OR(ACTIVIDADES!$I12="",U$4=""),"",IF(ACTIVIDADES!$I12=U$4,"●",IF(AND(ACTIVIDADES!$H12&lt;=U$4,ACTIVIDADES!$I12&gt;=U$4),"·","")))</f>
        <v/>
      </c>
      <c r="W12" s="8" t="str">
        <f>IF(OR(ACTIVIDADES!$I12="",V$4=""),"",IF(ACTIVIDADES!$I12=V$4,"●",IF(AND(ACTIVIDADES!$H12&lt;=V$4,ACTIVIDADES!$I12&gt;=V$4),"·","")))</f>
        <v/>
      </c>
      <c r="X12" s="8" t="str">
        <f>IF(OR(ACTIVIDADES!$I12="",W$4=""),"",IF(ACTIVIDADES!$I12=W$4,"●",IF(AND(ACTIVIDADES!$H12&lt;=W$4,ACTIVIDADES!$I12&gt;=W$4),"·","")))</f>
        <v/>
      </c>
      <c r="Y12" s="8" t="str">
        <f>IF(OR(ACTIVIDADES!$I12="",X$4=""),"",IF(ACTIVIDADES!$I12=X$4,"●",IF(AND(ACTIVIDADES!$H12&lt;=X$4,ACTIVIDADES!$I12&gt;=X$4),"·","")))</f>
        <v/>
      </c>
      <c r="Z12" s="8" t="str">
        <f>IF(OR(ACTIVIDADES!$I12="",Y$4=""),"",IF(ACTIVIDADES!$I12=Y$4,"●",IF(AND(ACTIVIDADES!$H12&lt;=Y$4,ACTIVIDADES!$I12&gt;=Y$4),"·","")))</f>
        <v/>
      </c>
      <c r="AA12" s="8" t="str">
        <f>IF(OR(ACTIVIDADES!$I12="",Z$4=""),"",IF(ACTIVIDADES!$I12=Z$4,"●",IF(AND(ACTIVIDADES!$H12&lt;=Z$4,ACTIVIDADES!$I12&gt;=Z$4),"·","")))</f>
        <v/>
      </c>
      <c r="AB12" s="8" t="str">
        <f>IF(OR(ACTIVIDADES!$I12="",AA$4=""),"",IF(ACTIVIDADES!$I12=AA$4,"●",IF(AND(ACTIVIDADES!$H12&lt;=AA$4,ACTIVIDADES!$I12&gt;=AA$4),"·","")))</f>
        <v/>
      </c>
      <c r="AC12" s="8" t="str">
        <f>IF(OR(ACTIVIDADES!$I12="",AB$4=""),"",IF(ACTIVIDADES!$I12=AB$4,"●",IF(AND(ACTIVIDADES!$H12&lt;=AB$4,ACTIVIDADES!$I12&gt;=AB$4),"·","")))</f>
        <v/>
      </c>
      <c r="AD12" s="8" t="str">
        <f>IF(OR(ACTIVIDADES!$I12="",AC$4=""),"",IF(ACTIVIDADES!$I12=AC$4,"●",IF(AND(ACTIVIDADES!$H12&lt;=AC$4,ACTIVIDADES!$I12&gt;=AC$4),"·","")))</f>
        <v/>
      </c>
      <c r="AE12" s="8" t="str">
        <f>IF(OR(ACTIVIDADES!$I12="",AD$4=""),"",IF(ACTIVIDADES!$I12=AD$4,"●",IF(AND(ACTIVIDADES!$H12&lt;=AD$4,ACTIVIDADES!$I12&gt;=AD$4),"·","")))</f>
        <v/>
      </c>
      <c r="AF12" s="8" t="str">
        <f>IF(OR(ACTIVIDADES!$I12="",AE$4=""),"",IF(ACTIVIDADES!$I12=AE$4,"●",IF(AND(ACTIVIDADES!$H12&lt;=AE$4,ACTIVIDADES!$I12&gt;=AE$4),"·","")))</f>
        <v/>
      </c>
      <c r="AG12" s="8" t="str">
        <f>IF(OR(ACTIVIDADES!$I12="",AF$4=""),"",IF(ACTIVIDADES!$I12=AF$4,"●",IF(AND(ACTIVIDADES!$H12&lt;=AF$4,ACTIVIDADES!$I12&gt;=AF$4),"·","")))</f>
        <v/>
      </c>
      <c r="AH12" s="8" t="str">
        <f>IF(OR(ACTIVIDADES!$I12="",AG$4=""),"",IF(ACTIVIDADES!$I12=AG$4,"●",IF(AND(ACTIVIDADES!$H12&lt;=AG$4,ACTIVIDADES!$I12&gt;=AG$4),"·","")))</f>
        <v/>
      </c>
      <c r="AI12" s="8" t="str">
        <f>IF(OR(ACTIVIDADES!$I12="",AH$4=""),"",IF(ACTIVIDADES!$I12=AH$4,"●",IF(AND(ACTIVIDADES!$H12&lt;=AH$4,ACTIVIDADES!$I12&gt;=AH$4),"·","")))</f>
        <v/>
      </c>
      <c r="AJ12" t="str">
        <f>IF(ACTIVIDADES!K12="","",ACTIVIDADES!K12)</f>
        <v>Cerrado</v>
      </c>
    </row>
    <row r="13" spans="1:36">
      <c r="A13" t="str">
        <f>IF(ACTIVIDADES!A13="","",ACTIVIDADES!A13)</f>
        <v>02.02</v>
      </c>
      <c r="B13" t="str">
        <f>IF(ACTIVIDADES!B13="","",ACTIVIDADES!B13)</f>
        <v>CDJ CANTONES</v>
      </c>
      <c r="C13" t="str">
        <f>IF(ACTIVIDADES!C13="","",ACTIVIDADES!C13)</f>
        <v>Abastecimiento</v>
      </c>
      <c r="D13" t="str">
        <f>IF(ACTIVIDADES!D13="","",ACTIVIDADES!D13)</f>
        <v>Solicitar requerimientos de insumos</v>
      </c>
      <c r="E13" s="8" t="str">
        <f>IF(OR(ACTIVIDADES!$I13="",D$4=""),"",IF(ACTIVIDADES!$I13=D$4,"●",IF(AND(ACTIVIDADES!$H13&lt;=D$4,ACTIVIDADES!$I13&gt;=D$4),"·","")))</f>
        <v/>
      </c>
      <c r="F13" s="8" t="str">
        <f>IF(OR(ACTIVIDADES!$I13="",E$4=""),"",IF(ACTIVIDADES!$I13=E$4,"●",IF(AND(ACTIVIDADES!$H13&lt;=E$4,ACTIVIDADES!$I13&gt;=E$4),"·","")))</f>
        <v/>
      </c>
      <c r="G13" s="8" t="str">
        <f>IF(OR(ACTIVIDADES!$I13="",F$4=""),"",IF(ACTIVIDADES!$I13=F$4,"●",IF(AND(ACTIVIDADES!$H13&lt;=F$4,ACTIVIDADES!$I13&gt;=F$4),"·","")))</f>
        <v/>
      </c>
      <c r="H13" s="8" t="str">
        <f>IF(OR(ACTIVIDADES!$I13="",G$4=""),"",IF(ACTIVIDADES!$I13=G$4,"●",IF(AND(ACTIVIDADES!$H13&lt;=G$4,ACTIVIDADES!$I13&gt;=G$4),"·","")))</f>
        <v/>
      </c>
      <c r="I13" s="8" t="str">
        <f>IF(OR(ACTIVIDADES!$I13="",H$4=""),"",IF(ACTIVIDADES!$I13=H$4,"●",IF(AND(ACTIVIDADES!$H13&lt;=H$4,ACTIVIDADES!$I13&gt;=H$4),"·","")))</f>
        <v/>
      </c>
      <c r="J13" s="8" t="str">
        <f>IF(OR(ACTIVIDADES!$I13="",I$4=""),"",IF(ACTIVIDADES!$I13=I$4,"●",IF(AND(ACTIVIDADES!$H13&lt;=I$4,ACTIVIDADES!$I13&gt;=I$4),"·","")))</f>
        <v/>
      </c>
      <c r="K13" s="8" t="str">
        <f>IF(OR(ACTIVIDADES!$I13="",J$4=""),"",IF(ACTIVIDADES!$I13=J$4,"●",IF(AND(ACTIVIDADES!$H13&lt;=J$4,ACTIVIDADES!$I13&gt;=J$4),"·","")))</f>
        <v/>
      </c>
      <c r="L13" s="8" t="str">
        <f>IF(OR(ACTIVIDADES!$I13="",K$4=""),"",IF(ACTIVIDADES!$I13=K$4,"●",IF(AND(ACTIVIDADES!$H13&lt;=K$4,ACTIVIDADES!$I13&gt;=K$4),"·","")))</f>
        <v/>
      </c>
      <c r="M13" s="8" t="str">
        <f>IF(OR(ACTIVIDADES!$I13="",L$4=""),"",IF(ACTIVIDADES!$I13=L$4,"●",IF(AND(ACTIVIDADES!$H13&lt;=L$4,ACTIVIDADES!$I13&gt;=L$4),"·","")))</f>
        <v/>
      </c>
      <c r="N13" s="8" t="str">
        <f>IF(OR(ACTIVIDADES!$I13="",M$4=""),"",IF(ACTIVIDADES!$I13=M$4,"●",IF(AND(ACTIVIDADES!$H13&lt;=M$4,ACTIVIDADES!$I13&gt;=M$4),"·","")))</f>
        <v/>
      </c>
      <c r="O13" s="8" t="str">
        <f>IF(OR(ACTIVIDADES!$I13="",N$4=""),"",IF(ACTIVIDADES!$I13=N$4,"●",IF(AND(ACTIVIDADES!$H13&lt;=N$4,ACTIVIDADES!$I13&gt;=N$4),"·","")))</f>
        <v/>
      </c>
      <c r="P13" s="8" t="str">
        <f>IF(OR(ACTIVIDADES!$I13="",O$4=""),"",IF(ACTIVIDADES!$I13=O$4,"●",IF(AND(ACTIVIDADES!$H13&lt;=O$4,ACTIVIDADES!$I13&gt;=O$4),"·","")))</f>
        <v/>
      </c>
      <c r="Q13" s="8" t="str">
        <f>IF(OR(ACTIVIDADES!$I13="",P$4=""),"",IF(ACTIVIDADES!$I13=P$4,"●",IF(AND(ACTIVIDADES!$H13&lt;=P$4,ACTIVIDADES!$I13&gt;=P$4),"·","")))</f>
        <v/>
      </c>
      <c r="R13" s="8" t="str">
        <f>IF(OR(ACTIVIDADES!$I13="",Q$4=""),"",IF(ACTIVIDADES!$I13=Q$4,"●",IF(AND(ACTIVIDADES!$H13&lt;=Q$4,ACTIVIDADES!$I13&gt;=Q$4),"·","")))</f>
        <v/>
      </c>
      <c r="S13" s="8" t="str">
        <f>IF(OR(ACTIVIDADES!$I13="",R$4=""),"",IF(ACTIVIDADES!$I13=R$4,"●",IF(AND(ACTIVIDADES!$H13&lt;=R$4,ACTIVIDADES!$I13&gt;=R$4),"·","")))</f>
        <v/>
      </c>
      <c r="T13" s="8" t="str">
        <f>IF(OR(ACTIVIDADES!$I13="",S$4=""),"",IF(ACTIVIDADES!$I13=S$4,"●",IF(AND(ACTIVIDADES!$H13&lt;=S$4,ACTIVIDADES!$I13&gt;=S$4),"·","")))</f>
        <v/>
      </c>
      <c r="U13" s="8" t="str">
        <f>IF(OR(ACTIVIDADES!$I13="",T$4=""),"",IF(ACTIVIDADES!$I13=T$4,"●",IF(AND(ACTIVIDADES!$H13&lt;=T$4,ACTIVIDADES!$I13&gt;=T$4),"·","")))</f>
        <v/>
      </c>
      <c r="V13" s="8" t="str">
        <f>IF(OR(ACTIVIDADES!$I13="",U$4=""),"",IF(ACTIVIDADES!$I13=U$4,"●",IF(AND(ACTIVIDADES!$H13&lt;=U$4,ACTIVIDADES!$I13&gt;=U$4),"·","")))</f>
        <v/>
      </c>
      <c r="W13" s="8" t="str">
        <f>IF(OR(ACTIVIDADES!$I13="",V$4=""),"",IF(ACTIVIDADES!$I13=V$4,"●",IF(AND(ACTIVIDADES!$H13&lt;=V$4,ACTIVIDADES!$I13&gt;=V$4),"·","")))</f>
        <v/>
      </c>
      <c r="X13" s="8" t="str">
        <f>IF(OR(ACTIVIDADES!$I13="",W$4=""),"",IF(ACTIVIDADES!$I13=W$4,"●",IF(AND(ACTIVIDADES!$H13&lt;=W$4,ACTIVIDADES!$I13&gt;=W$4),"·","")))</f>
        <v/>
      </c>
      <c r="Y13" s="8" t="str">
        <f>IF(OR(ACTIVIDADES!$I13="",X$4=""),"",IF(ACTIVIDADES!$I13=X$4,"●",IF(AND(ACTIVIDADES!$H13&lt;=X$4,ACTIVIDADES!$I13&gt;=X$4),"·","")))</f>
        <v/>
      </c>
      <c r="Z13" s="8" t="str">
        <f>IF(OR(ACTIVIDADES!$I13="",Y$4=""),"",IF(ACTIVIDADES!$I13=Y$4,"●",IF(AND(ACTIVIDADES!$H13&lt;=Y$4,ACTIVIDADES!$I13&gt;=Y$4),"·","")))</f>
        <v/>
      </c>
      <c r="AA13" s="8" t="str">
        <f>IF(OR(ACTIVIDADES!$I13="",Z$4=""),"",IF(ACTIVIDADES!$I13=Z$4,"●",IF(AND(ACTIVIDADES!$H13&lt;=Z$4,ACTIVIDADES!$I13&gt;=Z$4),"·","")))</f>
        <v/>
      </c>
      <c r="AB13" s="8" t="str">
        <f>IF(OR(ACTIVIDADES!$I13="",AA$4=""),"",IF(ACTIVIDADES!$I13=AA$4,"●",IF(AND(ACTIVIDADES!$H13&lt;=AA$4,ACTIVIDADES!$I13&gt;=AA$4),"·","")))</f>
        <v/>
      </c>
      <c r="AC13" s="8" t="str">
        <f>IF(OR(ACTIVIDADES!$I13="",AB$4=""),"",IF(ACTIVIDADES!$I13=AB$4,"●",IF(AND(ACTIVIDADES!$H13&lt;=AB$4,ACTIVIDADES!$I13&gt;=AB$4),"·","")))</f>
        <v/>
      </c>
      <c r="AD13" s="8" t="str">
        <f>IF(OR(ACTIVIDADES!$I13="",AC$4=""),"",IF(ACTIVIDADES!$I13=AC$4,"●",IF(AND(ACTIVIDADES!$H13&lt;=AC$4,ACTIVIDADES!$I13&gt;=AC$4),"·","")))</f>
        <v/>
      </c>
      <c r="AE13" s="8" t="str">
        <f>IF(OR(ACTIVIDADES!$I13="",AD$4=""),"",IF(ACTIVIDADES!$I13=AD$4,"●",IF(AND(ACTIVIDADES!$H13&lt;=AD$4,ACTIVIDADES!$I13&gt;=AD$4),"·","")))</f>
        <v/>
      </c>
      <c r="AF13" s="8" t="str">
        <f>IF(OR(ACTIVIDADES!$I13="",AE$4=""),"",IF(ACTIVIDADES!$I13=AE$4,"●",IF(AND(ACTIVIDADES!$H13&lt;=AE$4,ACTIVIDADES!$I13&gt;=AE$4),"·","")))</f>
        <v/>
      </c>
      <c r="AG13" s="8" t="str">
        <f>IF(OR(ACTIVIDADES!$I13="",AF$4=""),"",IF(ACTIVIDADES!$I13=AF$4,"●",IF(AND(ACTIVIDADES!$H13&lt;=AF$4,ACTIVIDADES!$I13&gt;=AF$4),"·","")))</f>
        <v/>
      </c>
      <c r="AH13" s="8" t="str">
        <f>IF(OR(ACTIVIDADES!$I13="",AG$4=""),"",IF(ACTIVIDADES!$I13=AG$4,"●",IF(AND(ACTIVIDADES!$H13&lt;=AG$4,ACTIVIDADES!$I13&gt;=AG$4),"·","")))</f>
        <v>·</v>
      </c>
      <c r="AI13" s="8" t="str">
        <f>IF(OR(ACTIVIDADES!$I13="",AH$4=""),"",IF(ACTIVIDADES!$I13=AH$4,"●",IF(AND(ACTIVIDADES!$H13&lt;=AH$4,ACTIVIDADES!$I13&gt;=AH$4),"·","")))</f>
        <v>·</v>
      </c>
      <c r="AJ13" t="str">
        <f>IF(ACTIVIDADES!K13="","",ACTIVIDADES!K13)</f>
        <v>Pendiente</v>
      </c>
    </row>
    <row r="14" spans="1:36">
      <c r="A14" t="str">
        <f>IF(ACTIVIDADES!A14="","",ACTIVIDADES!A14)</f>
        <v>02.03</v>
      </c>
      <c r="B14" t="str">
        <f>IF(ACTIVIDADES!B14="","",ACTIVIDADES!B14)</f>
        <v>CDJ CANTONES</v>
      </c>
      <c r="C14" t="str">
        <f>IF(ACTIVIDADES!C14="","",ACTIVIDADES!C14)</f>
        <v>Corte</v>
      </c>
      <c r="D14" t="str">
        <f>IF(ACTIVIDADES!D14="","",ACTIVIDADES!D14)</f>
        <v>Preparar y entregar corte del día 5</v>
      </c>
      <c r="E14" s="8" t="str">
        <f>IF(OR(ACTIVIDADES!$I14="",D$4=""),"",IF(ACTIVIDADES!$I14=D$4,"●",IF(AND(ACTIVIDADES!$H14&lt;=D$4,ACTIVIDADES!$I14&gt;=D$4),"·","")))</f>
        <v/>
      </c>
      <c r="F14" s="8" t="str">
        <f>IF(OR(ACTIVIDADES!$I14="",E$4=""),"",IF(ACTIVIDADES!$I14=E$4,"●",IF(AND(ACTIVIDADES!$H14&lt;=E$4,ACTIVIDADES!$I14&gt;=E$4),"·","")))</f>
        <v/>
      </c>
      <c r="G14" s="8" t="str">
        <f>IF(OR(ACTIVIDADES!$I14="",F$4=""),"",IF(ACTIVIDADES!$I14=F$4,"●",IF(AND(ACTIVIDADES!$H14&lt;=F$4,ACTIVIDADES!$I14&gt;=F$4),"·","")))</f>
        <v/>
      </c>
      <c r="H14" s="8" t="str">
        <f>IF(OR(ACTIVIDADES!$I14="",G$4=""),"",IF(ACTIVIDADES!$I14=G$4,"●",IF(AND(ACTIVIDADES!$H14&lt;=G$4,ACTIVIDADES!$I14&gt;=G$4),"·","")))</f>
        <v/>
      </c>
      <c r="I14" s="8" t="str">
        <f>IF(OR(ACTIVIDADES!$I14="",H$4=""),"",IF(ACTIVIDADES!$I14=H$4,"●",IF(AND(ACTIVIDADES!$H14&lt;=H$4,ACTIVIDADES!$I14&gt;=H$4),"·","")))</f>
        <v/>
      </c>
      <c r="J14" s="8" t="str">
        <f>IF(OR(ACTIVIDADES!$I14="",I$4=""),"",IF(ACTIVIDADES!$I14=I$4,"●",IF(AND(ACTIVIDADES!$H14&lt;=I$4,ACTIVIDADES!$I14&gt;=I$4),"·","")))</f>
        <v>●</v>
      </c>
      <c r="K14" s="8" t="str">
        <f>IF(OR(ACTIVIDADES!$I14="",J$4=""),"",IF(ACTIVIDADES!$I14=J$4,"●",IF(AND(ACTIVIDADES!$H14&lt;=J$4,ACTIVIDADES!$I14&gt;=J$4),"·","")))</f>
        <v/>
      </c>
      <c r="L14" s="8" t="str">
        <f>IF(OR(ACTIVIDADES!$I14="",K$4=""),"",IF(ACTIVIDADES!$I14=K$4,"●",IF(AND(ACTIVIDADES!$H14&lt;=K$4,ACTIVIDADES!$I14&gt;=K$4),"·","")))</f>
        <v/>
      </c>
      <c r="M14" s="8" t="str">
        <f>IF(OR(ACTIVIDADES!$I14="",L$4=""),"",IF(ACTIVIDADES!$I14=L$4,"●",IF(AND(ACTIVIDADES!$H14&lt;=L$4,ACTIVIDADES!$I14&gt;=L$4),"·","")))</f>
        <v/>
      </c>
      <c r="N14" s="8" t="str">
        <f>IF(OR(ACTIVIDADES!$I14="",M$4=""),"",IF(ACTIVIDADES!$I14=M$4,"●",IF(AND(ACTIVIDADES!$H14&lt;=M$4,ACTIVIDADES!$I14&gt;=M$4),"·","")))</f>
        <v/>
      </c>
      <c r="O14" s="8" t="str">
        <f>IF(OR(ACTIVIDADES!$I14="",N$4=""),"",IF(ACTIVIDADES!$I14=N$4,"●",IF(AND(ACTIVIDADES!$H14&lt;=N$4,ACTIVIDADES!$I14&gt;=N$4),"·","")))</f>
        <v/>
      </c>
      <c r="P14" s="8" t="str">
        <f>IF(OR(ACTIVIDADES!$I14="",O$4=""),"",IF(ACTIVIDADES!$I14=O$4,"●",IF(AND(ACTIVIDADES!$H14&lt;=O$4,ACTIVIDADES!$I14&gt;=O$4),"·","")))</f>
        <v/>
      </c>
      <c r="Q14" s="8" t="str">
        <f>IF(OR(ACTIVIDADES!$I14="",P$4=""),"",IF(ACTIVIDADES!$I14=P$4,"●",IF(AND(ACTIVIDADES!$H14&lt;=P$4,ACTIVIDADES!$I14&gt;=P$4),"·","")))</f>
        <v/>
      </c>
      <c r="R14" s="8" t="str">
        <f>IF(OR(ACTIVIDADES!$I14="",Q$4=""),"",IF(ACTIVIDADES!$I14=Q$4,"●",IF(AND(ACTIVIDADES!$H14&lt;=Q$4,ACTIVIDADES!$I14&gt;=Q$4),"·","")))</f>
        <v/>
      </c>
      <c r="S14" s="8" t="str">
        <f>IF(OR(ACTIVIDADES!$I14="",R$4=""),"",IF(ACTIVIDADES!$I14=R$4,"●",IF(AND(ACTIVIDADES!$H14&lt;=R$4,ACTIVIDADES!$I14&gt;=R$4),"·","")))</f>
        <v/>
      </c>
      <c r="T14" s="8" t="str">
        <f>IF(OR(ACTIVIDADES!$I14="",S$4=""),"",IF(ACTIVIDADES!$I14=S$4,"●",IF(AND(ACTIVIDADES!$H14&lt;=S$4,ACTIVIDADES!$I14&gt;=S$4),"·","")))</f>
        <v/>
      </c>
      <c r="U14" s="8" t="str">
        <f>IF(OR(ACTIVIDADES!$I14="",T$4=""),"",IF(ACTIVIDADES!$I14=T$4,"●",IF(AND(ACTIVIDADES!$H14&lt;=T$4,ACTIVIDADES!$I14&gt;=T$4),"·","")))</f>
        <v/>
      </c>
      <c r="V14" s="8" t="str">
        <f>IF(OR(ACTIVIDADES!$I14="",U$4=""),"",IF(ACTIVIDADES!$I14=U$4,"●",IF(AND(ACTIVIDADES!$H14&lt;=U$4,ACTIVIDADES!$I14&gt;=U$4),"·","")))</f>
        <v/>
      </c>
      <c r="W14" s="8" t="str">
        <f>IF(OR(ACTIVIDADES!$I14="",V$4=""),"",IF(ACTIVIDADES!$I14=V$4,"●",IF(AND(ACTIVIDADES!$H14&lt;=V$4,ACTIVIDADES!$I14&gt;=V$4),"·","")))</f>
        <v/>
      </c>
      <c r="X14" s="8" t="str">
        <f>IF(OR(ACTIVIDADES!$I14="",W$4=""),"",IF(ACTIVIDADES!$I14=W$4,"●",IF(AND(ACTIVIDADES!$H14&lt;=W$4,ACTIVIDADES!$I14&gt;=W$4),"·","")))</f>
        <v/>
      </c>
      <c r="Y14" s="8" t="str">
        <f>IF(OR(ACTIVIDADES!$I14="",X$4=""),"",IF(ACTIVIDADES!$I14=X$4,"●",IF(AND(ACTIVIDADES!$H14&lt;=X$4,ACTIVIDADES!$I14&gt;=X$4),"·","")))</f>
        <v/>
      </c>
      <c r="Z14" s="8" t="str">
        <f>IF(OR(ACTIVIDADES!$I14="",Y$4=""),"",IF(ACTIVIDADES!$I14=Y$4,"●",IF(AND(ACTIVIDADES!$H14&lt;=Y$4,ACTIVIDADES!$I14&gt;=Y$4),"·","")))</f>
        <v/>
      </c>
      <c r="AA14" s="8" t="str">
        <f>IF(OR(ACTIVIDADES!$I14="",Z$4=""),"",IF(ACTIVIDADES!$I14=Z$4,"●",IF(AND(ACTIVIDADES!$H14&lt;=Z$4,ACTIVIDADES!$I14&gt;=Z$4),"·","")))</f>
        <v/>
      </c>
      <c r="AB14" s="8" t="str">
        <f>IF(OR(ACTIVIDADES!$I14="",AA$4=""),"",IF(ACTIVIDADES!$I14=AA$4,"●",IF(AND(ACTIVIDADES!$H14&lt;=AA$4,ACTIVIDADES!$I14&gt;=AA$4),"·","")))</f>
        <v/>
      </c>
      <c r="AC14" s="8" t="str">
        <f>IF(OR(ACTIVIDADES!$I14="",AB$4=""),"",IF(ACTIVIDADES!$I14=AB$4,"●",IF(AND(ACTIVIDADES!$H14&lt;=AB$4,ACTIVIDADES!$I14&gt;=AB$4),"·","")))</f>
        <v/>
      </c>
      <c r="AD14" s="8" t="str">
        <f>IF(OR(ACTIVIDADES!$I14="",AC$4=""),"",IF(ACTIVIDADES!$I14=AC$4,"●",IF(AND(ACTIVIDADES!$H14&lt;=AC$4,ACTIVIDADES!$I14&gt;=AC$4),"·","")))</f>
        <v/>
      </c>
      <c r="AE14" s="8" t="str">
        <f>IF(OR(ACTIVIDADES!$I14="",AD$4=""),"",IF(ACTIVIDADES!$I14=AD$4,"●",IF(AND(ACTIVIDADES!$H14&lt;=AD$4,ACTIVIDADES!$I14&gt;=AD$4),"·","")))</f>
        <v/>
      </c>
      <c r="AF14" s="8" t="str">
        <f>IF(OR(ACTIVIDADES!$I14="",AE$4=""),"",IF(ACTIVIDADES!$I14=AE$4,"●",IF(AND(ACTIVIDADES!$H14&lt;=AE$4,ACTIVIDADES!$I14&gt;=AE$4),"·","")))</f>
        <v/>
      </c>
      <c r="AG14" s="8" t="str">
        <f>IF(OR(ACTIVIDADES!$I14="",AF$4=""),"",IF(ACTIVIDADES!$I14=AF$4,"●",IF(AND(ACTIVIDADES!$H14&lt;=AF$4,ACTIVIDADES!$I14&gt;=AF$4),"·","")))</f>
        <v/>
      </c>
      <c r="AH14" s="8" t="str">
        <f>IF(OR(ACTIVIDADES!$I14="",AG$4=""),"",IF(ACTIVIDADES!$I14=AG$4,"●",IF(AND(ACTIVIDADES!$H14&lt;=AG$4,ACTIVIDADES!$I14&gt;=AG$4),"·","")))</f>
        <v/>
      </c>
      <c r="AI14" s="8" t="str">
        <f>IF(OR(ACTIVIDADES!$I14="",AH$4=""),"",IF(ACTIVIDADES!$I14=AH$4,"●",IF(AND(ACTIVIDADES!$H14&lt;=AH$4,ACTIVIDADES!$I14&gt;=AH$4),"·","")))</f>
        <v/>
      </c>
      <c r="AJ14" t="str">
        <f>IF(ACTIVIDADES!K14="","",ACTIVIDADES!K14)</f>
        <v>Cerrado</v>
      </c>
    </row>
    <row r="15" spans="1:36">
      <c r="A15" t="str">
        <f>IF(ACTIVIDADES!A15="","",ACTIVIDADES!A15)</f>
        <v>02.04</v>
      </c>
      <c r="B15" t="str">
        <f>IF(ACTIVIDADES!B15="","",ACTIVIDADES!B15)</f>
        <v>CDJ CANTONES</v>
      </c>
      <c r="C15" t="str">
        <f>IF(ACTIVIDADES!C15="","",ACTIVIDADES!C15)</f>
        <v>Corte</v>
      </c>
      <c r="D15" t="str">
        <f>IF(ACTIVIDADES!D15="","",ACTIVIDADES!D15)</f>
        <v>Preparar y entregar corte del día 10</v>
      </c>
      <c r="E15" s="8" t="str">
        <f>IF(OR(ACTIVIDADES!$I15="",D$4=""),"",IF(ACTIVIDADES!$I15=D$4,"●",IF(AND(ACTIVIDADES!$H15&lt;=D$4,ACTIVIDADES!$I15&gt;=D$4),"·","")))</f>
        <v/>
      </c>
      <c r="F15" s="8" t="str">
        <f>IF(OR(ACTIVIDADES!$I15="",E$4=""),"",IF(ACTIVIDADES!$I15=E$4,"●",IF(AND(ACTIVIDADES!$H15&lt;=E$4,ACTIVIDADES!$I15&gt;=E$4),"·","")))</f>
        <v/>
      </c>
      <c r="G15" s="8" t="str">
        <f>IF(OR(ACTIVIDADES!$I15="",F$4=""),"",IF(ACTIVIDADES!$I15=F$4,"●",IF(AND(ACTIVIDADES!$H15&lt;=F$4,ACTIVIDADES!$I15&gt;=F$4),"·","")))</f>
        <v/>
      </c>
      <c r="H15" s="8" t="str">
        <f>IF(OR(ACTIVIDADES!$I15="",G$4=""),"",IF(ACTIVIDADES!$I15=G$4,"●",IF(AND(ACTIVIDADES!$H15&lt;=G$4,ACTIVIDADES!$I15&gt;=G$4),"·","")))</f>
        <v/>
      </c>
      <c r="I15" s="8" t="str">
        <f>IF(OR(ACTIVIDADES!$I15="",H$4=""),"",IF(ACTIVIDADES!$I15=H$4,"●",IF(AND(ACTIVIDADES!$H15&lt;=H$4,ACTIVIDADES!$I15&gt;=H$4),"·","")))</f>
        <v/>
      </c>
      <c r="J15" s="8" t="str">
        <f>IF(OR(ACTIVIDADES!$I15="",I$4=""),"",IF(ACTIVIDADES!$I15=I$4,"●",IF(AND(ACTIVIDADES!$H15&lt;=I$4,ACTIVIDADES!$I15&gt;=I$4),"·","")))</f>
        <v/>
      </c>
      <c r="K15" s="8" t="str">
        <f>IF(OR(ACTIVIDADES!$I15="",J$4=""),"",IF(ACTIVIDADES!$I15=J$4,"●",IF(AND(ACTIVIDADES!$H15&lt;=J$4,ACTIVIDADES!$I15&gt;=J$4),"·","")))</f>
        <v/>
      </c>
      <c r="L15" s="8" t="str">
        <f>IF(OR(ACTIVIDADES!$I15="",K$4=""),"",IF(ACTIVIDADES!$I15=K$4,"●",IF(AND(ACTIVIDADES!$H15&lt;=K$4,ACTIVIDADES!$I15&gt;=K$4),"·","")))</f>
        <v/>
      </c>
      <c r="M15" s="8" t="str">
        <f>IF(OR(ACTIVIDADES!$I15="",L$4=""),"",IF(ACTIVIDADES!$I15=L$4,"●",IF(AND(ACTIVIDADES!$H15&lt;=L$4,ACTIVIDADES!$I15&gt;=L$4),"·","")))</f>
        <v/>
      </c>
      <c r="N15" s="8" t="str">
        <f>IF(OR(ACTIVIDADES!$I15="",M$4=""),"",IF(ACTIVIDADES!$I15=M$4,"●",IF(AND(ACTIVIDADES!$H15&lt;=M$4,ACTIVIDADES!$I15&gt;=M$4),"·","")))</f>
        <v/>
      </c>
      <c r="O15" s="8" t="str">
        <f>IF(OR(ACTIVIDADES!$I15="",N$4=""),"",IF(ACTIVIDADES!$I15=N$4,"●",IF(AND(ACTIVIDADES!$H15&lt;=N$4,ACTIVIDADES!$I15&gt;=N$4),"·","")))</f>
        <v>●</v>
      </c>
      <c r="P15" s="8" t="str">
        <f>IF(OR(ACTIVIDADES!$I15="",O$4=""),"",IF(ACTIVIDADES!$I15=O$4,"●",IF(AND(ACTIVIDADES!$H15&lt;=O$4,ACTIVIDADES!$I15&gt;=O$4),"·","")))</f>
        <v/>
      </c>
      <c r="Q15" s="8" t="str">
        <f>IF(OR(ACTIVIDADES!$I15="",P$4=""),"",IF(ACTIVIDADES!$I15=P$4,"●",IF(AND(ACTIVIDADES!$H15&lt;=P$4,ACTIVIDADES!$I15&gt;=P$4),"·","")))</f>
        <v/>
      </c>
      <c r="R15" s="8" t="str">
        <f>IF(OR(ACTIVIDADES!$I15="",Q$4=""),"",IF(ACTIVIDADES!$I15=Q$4,"●",IF(AND(ACTIVIDADES!$H15&lt;=Q$4,ACTIVIDADES!$I15&gt;=Q$4),"·","")))</f>
        <v/>
      </c>
      <c r="S15" s="8" t="str">
        <f>IF(OR(ACTIVIDADES!$I15="",R$4=""),"",IF(ACTIVIDADES!$I15=R$4,"●",IF(AND(ACTIVIDADES!$H15&lt;=R$4,ACTIVIDADES!$I15&gt;=R$4),"·","")))</f>
        <v/>
      </c>
      <c r="T15" s="8" t="str">
        <f>IF(OR(ACTIVIDADES!$I15="",S$4=""),"",IF(ACTIVIDADES!$I15=S$4,"●",IF(AND(ACTIVIDADES!$H15&lt;=S$4,ACTIVIDADES!$I15&gt;=S$4),"·","")))</f>
        <v/>
      </c>
      <c r="U15" s="8" t="str">
        <f>IF(OR(ACTIVIDADES!$I15="",T$4=""),"",IF(ACTIVIDADES!$I15=T$4,"●",IF(AND(ACTIVIDADES!$H15&lt;=T$4,ACTIVIDADES!$I15&gt;=T$4),"·","")))</f>
        <v/>
      </c>
      <c r="V15" s="8" t="str">
        <f>IF(OR(ACTIVIDADES!$I15="",U$4=""),"",IF(ACTIVIDADES!$I15=U$4,"●",IF(AND(ACTIVIDADES!$H15&lt;=U$4,ACTIVIDADES!$I15&gt;=U$4),"·","")))</f>
        <v/>
      </c>
      <c r="W15" s="8" t="str">
        <f>IF(OR(ACTIVIDADES!$I15="",V$4=""),"",IF(ACTIVIDADES!$I15=V$4,"●",IF(AND(ACTIVIDADES!$H15&lt;=V$4,ACTIVIDADES!$I15&gt;=V$4),"·","")))</f>
        <v/>
      </c>
      <c r="X15" s="8" t="str">
        <f>IF(OR(ACTIVIDADES!$I15="",W$4=""),"",IF(ACTIVIDADES!$I15=W$4,"●",IF(AND(ACTIVIDADES!$H15&lt;=W$4,ACTIVIDADES!$I15&gt;=W$4),"·","")))</f>
        <v/>
      </c>
      <c r="Y15" s="8" t="str">
        <f>IF(OR(ACTIVIDADES!$I15="",X$4=""),"",IF(ACTIVIDADES!$I15=X$4,"●",IF(AND(ACTIVIDADES!$H15&lt;=X$4,ACTIVIDADES!$I15&gt;=X$4),"·","")))</f>
        <v/>
      </c>
      <c r="Z15" s="8" t="str">
        <f>IF(OR(ACTIVIDADES!$I15="",Y$4=""),"",IF(ACTIVIDADES!$I15=Y$4,"●",IF(AND(ACTIVIDADES!$H15&lt;=Y$4,ACTIVIDADES!$I15&gt;=Y$4),"·","")))</f>
        <v/>
      </c>
      <c r="AA15" s="8" t="str">
        <f>IF(OR(ACTIVIDADES!$I15="",Z$4=""),"",IF(ACTIVIDADES!$I15=Z$4,"●",IF(AND(ACTIVIDADES!$H15&lt;=Z$4,ACTIVIDADES!$I15&gt;=Z$4),"·","")))</f>
        <v/>
      </c>
      <c r="AB15" s="8" t="str">
        <f>IF(OR(ACTIVIDADES!$I15="",AA$4=""),"",IF(ACTIVIDADES!$I15=AA$4,"●",IF(AND(ACTIVIDADES!$H15&lt;=AA$4,ACTIVIDADES!$I15&gt;=AA$4),"·","")))</f>
        <v/>
      </c>
      <c r="AC15" s="8" t="str">
        <f>IF(OR(ACTIVIDADES!$I15="",AB$4=""),"",IF(ACTIVIDADES!$I15=AB$4,"●",IF(AND(ACTIVIDADES!$H15&lt;=AB$4,ACTIVIDADES!$I15&gt;=AB$4),"·","")))</f>
        <v/>
      </c>
      <c r="AD15" s="8" t="str">
        <f>IF(OR(ACTIVIDADES!$I15="",AC$4=""),"",IF(ACTIVIDADES!$I15=AC$4,"●",IF(AND(ACTIVIDADES!$H15&lt;=AC$4,ACTIVIDADES!$I15&gt;=AC$4),"·","")))</f>
        <v/>
      </c>
      <c r="AE15" s="8" t="str">
        <f>IF(OR(ACTIVIDADES!$I15="",AD$4=""),"",IF(ACTIVIDADES!$I15=AD$4,"●",IF(AND(ACTIVIDADES!$H15&lt;=AD$4,ACTIVIDADES!$I15&gt;=AD$4),"·","")))</f>
        <v/>
      </c>
      <c r="AF15" s="8" t="str">
        <f>IF(OR(ACTIVIDADES!$I15="",AE$4=""),"",IF(ACTIVIDADES!$I15=AE$4,"●",IF(AND(ACTIVIDADES!$H15&lt;=AE$4,ACTIVIDADES!$I15&gt;=AE$4),"·","")))</f>
        <v/>
      </c>
      <c r="AG15" s="8" t="str">
        <f>IF(OR(ACTIVIDADES!$I15="",AF$4=""),"",IF(ACTIVIDADES!$I15=AF$4,"●",IF(AND(ACTIVIDADES!$H15&lt;=AF$4,ACTIVIDADES!$I15&gt;=AF$4),"·","")))</f>
        <v/>
      </c>
      <c r="AH15" s="8" t="str">
        <f>IF(OR(ACTIVIDADES!$I15="",AG$4=""),"",IF(ACTIVIDADES!$I15=AG$4,"●",IF(AND(ACTIVIDADES!$H15&lt;=AG$4,ACTIVIDADES!$I15&gt;=AG$4),"·","")))</f>
        <v/>
      </c>
      <c r="AI15" s="8" t="str">
        <f>IF(OR(ACTIVIDADES!$I15="",AH$4=""),"",IF(ACTIVIDADES!$I15=AH$4,"●",IF(AND(ACTIVIDADES!$H15&lt;=AH$4,ACTIVIDADES!$I15&gt;=AH$4),"·","")))</f>
        <v/>
      </c>
      <c r="AJ15" t="str">
        <f>IF(ACTIVIDADES!K15="","",ACTIVIDADES!K15)</f>
        <v>Cerrado</v>
      </c>
    </row>
    <row r="16" spans="1:36">
      <c r="A16" t="str">
        <f>IF(ACTIVIDADES!A16="","",ACTIVIDADES!A16)</f>
        <v>02.05</v>
      </c>
      <c r="B16" t="str">
        <f>IF(ACTIVIDADES!B16="","",ACTIVIDADES!B16)</f>
        <v>CDJ CANTONES</v>
      </c>
      <c r="C16" t="str">
        <f>IF(ACTIVIDADES!C16="","",ACTIVIDADES!C16)</f>
        <v>Corte</v>
      </c>
      <c r="D16" t="str">
        <f>IF(ACTIVIDADES!D16="","",ACTIVIDADES!D16)</f>
        <v>Preparar y entregar corte del día 20</v>
      </c>
      <c r="E16" s="8" t="str">
        <f>IF(OR(ACTIVIDADES!$I16="",D$4=""),"",IF(ACTIVIDADES!$I16=D$4,"●",IF(AND(ACTIVIDADES!$H16&lt;=D$4,ACTIVIDADES!$I16&gt;=D$4),"·","")))</f>
        <v/>
      </c>
      <c r="F16" s="8" t="str">
        <f>IF(OR(ACTIVIDADES!$I16="",E$4=""),"",IF(ACTIVIDADES!$I16=E$4,"●",IF(AND(ACTIVIDADES!$H16&lt;=E$4,ACTIVIDADES!$I16&gt;=E$4),"·","")))</f>
        <v/>
      </c>
      <c r="G16" s="8" t="str">
        <f>IF(OR(ACTIVIDADES!$I16="",F$4=""),"",IF(ACTIVIDADES!$I16=F$4,"●",IF(AND(ACTIVIDADES!$H16&lt;=F$4,ACTIVIDADES!$I16&gt;=F$4),"·","")))</f>
        <v/>
      </c>
      <c r="H16" s="8" t="str">
        <f>IF(OR(ACTIVIDADES!$I16="",G$4=""),"",IF(ACTIVIDADES!$I16=G$4,"●",IF(AND(ACTIVIDADES!$H16&lt;=G$4,ACTIVIDADES!$I16&gt;=G$4),"·","")))</f>
        <v/>
      </c>
      <c r="I16" s="8" t="str">
        <f>IF(OR(ACTIVIDADES!$I16="",H$4=""),"",IF(ACTIVIDADES!$I16=H$4,"●",IF(AND(ACTIVIDADES!$H16&lt;=H$4,ACTIVIDADES!$I16&gt;=H$4),"·","")))</f>
        <v/>
      </c>
      <c r="J16" s="8" t="str">
        <f>IF(OR(ACTIVIDADES!$I16="",I$4=""),"",IF(ACTIVIDADES!$I16=I$4,"●",IF(AND(ACTIVIDADES!$H16&lt;=I$4,ACTIVIDADES!$I16&gt;=I$4),"·","")))</f>
        <v/>
      </c>
      <c r="K16" s="8" t="str">
        <f>IF(OR(ACTIVIDADES!$I16="",J$4=""),"",IF(ACTIVIDADES!$I16=J$4,"●",IF(AND(ACTIVIDADES!$H16&lt;=J$4,ACTIVIDADES!$I16&gt;=J$4),"·","")))</f>
        <v/>
      </c>
      <c r="L16" s="8" t="str">
        <f>IF(OR(ACTIVIDADES!$I16="",K$4=""),"",IF(ACTIVIDADES!$I16=K$4,"●",IF(AND(ACTIVIDADES!$H16&lt;=K$4,ACTIVIDADES!$I16&gt;=K$4),"·","")))</f>
        <v/>
      </c>
      <c r="M16" s="8" t="str">
        <f>IF(OR(ACTIVIDADES!$I16="",L$4=""),"",IF(ACTIVIDADES!$I16=L$4,"●",IF(AND(ACTIVIDADES!$H16&lt;=L$4,ACTIVIDADES!$I16&gt;=L$4),"·","")))</f>
        <v/>
      </c>
      <c r="N16" s="8" t="str">
        <f>IF(OR(ACTIVIDADES!$I16="",M$4=""),"",IF(ACTIVIDADES!$I16=M$4,"●",IF(AND(ACTIVIDADES!$H16&lt;=M$4,ACTIVIDADES!$I16&gt;=M$4),"·","")))</f>
        <v/>
      </c>
      <c r="O16" s="8" t="str">
        <f>IF(OR(ACTIVIDADES!$I16="",N$4=""),"",IF(ACTIVIDADES!$I16=N$4,"●",IF(AND(ACTIVIDADES!$H16&lt;=N$4,ACTIVIDADES!$I16&gt;=N$4),"·","")))</f>
        <v/>
      </c>
      <c r="P16" s="8" t="str">
        <f>IF(OR(ACTIVIDADES!$I16="",O$4=""),"",IF(ACTIVIDADES!$I16=O$4,"●",IF(AND(ACTIVIDADES!$H16&lt;=O$4,ACTIVIDADES!$I16&gt;=O$4),"·","")))</f>
        <v/>
      </c>
      <c r="Q16" s="8" t="str">
        <f>IF(OR(ACTIVIDADES!$I16="",P$4=""),"",IF(ACTIVIDADES!$I16=P$4,"●",IF(AND(ACTIVIDADES!$H16&lt;=P$4,ACTIVIDADES!$I16&gt;=P$4),"·","")))</f>
        <v/>
      </c>
      <c r="R16" s="8" t="str">
        <f>IF(OR(ACTIVIDADES!$I16="",Q$4=""),"",IF(ACTIVIDADES!$I16=Q$4,"●",IF(AND(ACTIVIDADES!$H16&lt;=Q$4,ACTIVIDADES!$I16&gt;=Q$4),"·","")))</f>
        <v/>
      </c>
      <c r="S16" s="8" t="str">
        <f>IF(OR(ACTIVIDADES!$I16="",R$4=""),"",IF(ACTIVIDADES!$I16=R$4,"●",IF(AND(ACTIVIDADES!$H16&lt;=R$4,ACTIVIDADES!$I16&gt;=R$4),"·","")))</f>
        <v/>
      </c>
      <c r="T16" s="8" t="str">
        <f>IF(OR(ACTIVIDADES!$I16="",S$4=""),"",IF(ACTIVIDADES!$I16=S$4,"●",IF(AND(ACTIVIDADES!$H16&lt;=S$4,ACTIVIDADES!$I16&gt;=S$4),"·","")))</f>
        <v/>
      </c>
      <c r="U16" s="8" t="str">
        <f>IF(OR(ACTIVIDADES!$I16="",T$4=""),"",IF(ACTIVIDADES!$I16=T$4,"●",IF(AND(ACTIVIDADES!$H16&lt;=T$4,ACTIVIDADES!$I16&gt;=T$4),"·","")))</f>
        <v/>
      </c>
      <c r="V16" s="8" t="str">
        <f>IF(OR(ACTIVIDADES!$I16="",U$4=""),"",IF(ACTIVIDADES!$I16=U$4,"●",IF(AND(ACTIVIDADES!$H16&lt;=U$4,ACTIVIDADES!$I16&gt;=U$4),"·","")))</f>
        <v/>
      </c>
      <c r="W16" s="8" t="str">
        <f>IF(OR(ACTIVIDADES!$I16="",V$4=""),"",IF(ACTIVIDADES!$I16=V$4,"●",IF(AND(ACTIVIDADES!$H16&lt;=V$4,ACTIVIDADES!$I16&gt;=V$4),"·","")))</f>
        <v/>
      </c>
      <c r="X16" s="8" t="str">
        <f>IF(OR(ACTIVIDADES!$I16="",W$4=""),"",IF(ACTIVIDADES!$I16=W$4,"●",IF(AND(ACTIVIDADES!$H16&lt;=W$4,ACTIVIDADES!$I16&gt;=W$4),"·","")))</f>
        <v/>
      </c>
      <c r="Y16" s="8" t="str">
        <f>IF(OR(ACTIVIDADES!$I16="",X$4=""),"",IF(ACTIVIDADES!$I16=X$4,"●",IF(AND(ACTIVIDADES!$H16&lt;=X$4,ACTIVIDADES!$I16&gt;=X$4),"·","")))</f>
        <v>●</v>
      </c>
      <c r="Z16" s="8" t="str">
        <f>IF(OR(ACTIVIDADES!$I16="",Y$4=""),"",IF(ACTIVIDADES!$I16=Y$4,"●",IF(AND(ACTIVIDADES!$H16&lt;=Y$4,ACTIVIDADES!$I16&gt;=Y$4),"·","")))</f>
        <v/>
      </c>
      <c r="AA16" s="8" t="str">
        <f>IF(OR(ACTIVIDADES!$I16="",Z$4=""),"",IF(ACTIVIDADES!$I16=Z$4,"●",IF(AND(ACTIVIDADES!$H16&lt;=Z$4,ACTIVIDADES!$I16&gt;=Z$4),"·","")))</f>
        <v/>
      </c>
      <c r="AB16" s="8" t="str">
        <f>IF(OR(ACTIVIDADES!$I16="",AA$4=""),"",IF(ACTIVIDADES!$I16=AA$4,"●",IF(AND(ACTIVIDADES!$H16&lt;=AA$4,ACTIVIDADES!$I16&gt;=AA$4),"·","")))</f>
        <v/>
      </c>
      <c r="AC16" s="8" t="str">
        <f>IF(OR(ACTIVIDADES!$I16="",AB$4=""),"",IF(ACTIVIDADES!$I16=AB$4,"●",IF(AND(ACTIVIDADES!$H16&lt;=AB$4,ACTIVIDADES!$I16&gt;=AB$4),"·","")))</f>
        <v/>
      </c>
      <c r="AD16" s="8" t="str">
        <f>IF(OR(ACTIVIDADES!$I16="",AC$4=""),"",IF(ACTIVIDADES!$I16=AC$4,"●",IF(AND(ACTIVIDADES!$H16&lt;=AC$4,ACTIVIDADES!$I16&gt;=AC$4),"·","")))</f>
        <v/>
      </c>
      <c r="AE16" s="8" t="str">
        <f>IF(OR(ACTIVIDADES!$I16="",AD$4=""),"",IF(ACTIVIDADES!$I16=AD$4,"●",IF(AND(ACTIVIDADES!$H16&lt;=AD$4,ACTIVIDADES!$I16&gt;=AD$4),"·","")))</f>
        <v/>
      </c>
      <c r="AF16" s="8" t="str">
        <f>IF(OR(ACTIVIDADES!$I16="",AE$4=""),"",IF(ACTIVIDADES!$I16=AE$4,"●",IF(AND(ACTIVIDADES!$H16&lt;=AE$4,ACTIVIDADES!$I16&gt;=AE$4),"·","")))</f>
        <v/>
      </c>
      <c r="AG16" s="8" t="str">
        <f>IF(OR(ACTIVIDADES!$I16="",AF$4=""),"",IF(ACTIVIDADES!$I16=AF$4,"●",IF(AND(ACTIVIDADES!$H16&lt;=AF$4,ACTIVIDADES!$I16&gt;=AF$4),"·","")))</f>
        <v/>
      </c>
      <c r="AH16" s="8" t="str">
        <f>IF(OR(ACTIVIDADES!$I16="",AG$4=""),"",IF(ACTIVIDADES!$I16=AG$4,"●",IF(AND(ACTIVIDADES!$H16&lt;=AG$4,ACTIVIDADES!$I16&gt;=AG$4),"·","")))</f>
        <v/>
      </c>
      <c r="AI16" s="8" t="str">
        <f>IF(OR(ACTIVIDADES!$I16="",AH$4=""),"",IF(ACTIVIDADES!$I16=AH$4,"●",IF(AND(ACTIVIDADES!$H16&lt;=AH$4,ACTIVIDADES!$I16&gt;=AH$4),"·","")))</f>
        <v/>
      </c>
      <c r="AJ16" t="str">
        <f>IF(ACTIVIDADES!K16="","",ACTIVIDADES!K16)</f>
        <v>Pendiente</v>
      </c>
    </row>
    <row r="17" spans="1:36">
      <c r="A17" t="str">
        <f>IF(ACTIVIDADES!A17="","",ACTIVIDADES!A17)</f>
        <v>02.06</v>
      </c>
      <c r="B17" t="str">
        <f>IF(ACTIVIDADES!B17="","",ACTIVIDADES!B17)</f>
        <v>CDJ CANTONES</v>
      </c>
      <c r="C17" t="str">
        <f>IF(ACTIVIDADES!C17="","",ACTIVIDADES!C17)</f>
        <v>Corte</v>
      </c>
      <c r="D17" t="str">
        <f>IF(ACTIVIDADES!D17="","",ACTIVIDADES!D17)</f>
        <v>Preparar y entregar corte del día 26</v>
      </c>
      <c r="E17" s="8" t="str">
        <f>IF(OR(ACTIVIDADES!$I17="",D$4=""),"",IF(ACTIVIDADES!$I17=D$4,"●",IF(AND(ACTIVIDADES!$H17&lt;=D$4,ACTIVIDADES!$I17&gt;=D$4),"·","")))</f>
        <v/>
      </c>
      <c r="F17" s="8" t="str">
        <f>IF(OR(ACTIVIDADES!$I17="",E$4=""),"",IF(ACTIVIDADES!$I17=E$4,"●",IF(AND(ACTIVIDADES!$H17&lt;=E$4,ACTIVIDADES!$I17&gt;=E$4),"·","")))</f>
        <v/>
      </c>
      <c r="G17" s="8" t="str">
        <f>IF(OR(ACTIVIDADES!$I17="",F$4=""),"",IF(ACTIVIDADES!$I17=F$4,"●",IF(AND(ACTIVIDADES!$H17&lt;=F$4,ACTIVIDADES!$I17&gt;=F$4),"·","")))</f>
        <v/>
      </c>
      <c r="H17" s="8" t="str">
        <f>IF(OR(ACTIVIDADES!$I17="",G$4=""),"",IF(ACTIVIDADES!$I17=G$4,"●",IF(AND(ACTIVIDADES!$H17&lt;=G$4,ACTIVIDADES!$I17&gt;=G$4),"·","")))</f>
        <v/>
      </c>
      <c r="I17" s="8" t="str">
        <f>IF(OR(ACTIVIDADES!$I17="",H$4=""),"",IF(ACTIVIDADES!$I17=H$4,"●",IF(AND(ACTIVIDADES!$H17&lt;=H$4,ACTIVIDADES!$I17&gt;=H$4),"·","")))</f>
        <v/>
      </c>
      <c r="J17" s="8" t="str">
        <f>IF(OR(ACTIVIDADES!$I17="",I$4=""),"",IF(ACTIVIDADES!$I17=I$4,"●",IF(AND(ACTIVIDADES!$H17&lt;=I$4,ACTIVIDADES!$I17&gt;=I$4),"·","")))</f>
        <v/>
      </c>
      <c r="K17" s="8" t="str">
        <f>IF(OR(ACTIVIDADES!$I17="",J$4=""),"",IF(ACTIVIDADES!$I17=J$4,"●",IF(AND(ACTIVIDADES!$H17&lt;=J$4,ACTIVIDADES!$I17&gt;=J$4),"·","")))</f>
        <v/>
      </c>
      <c r="L17" s="8" t="str">
        <f>IF(OR(ACTIVIDADES!$I17="",K$4=""),"",IF(ACTIVIDADES!$I17=K$4,"●",IF(AND(ACTIVIDADES!$H17&lt;=K$4,ACTIVIDADES!$I17&gt;=K$4),"·","")))</f>
        <v/>
      </c>
      <c r="M17" s="8" t="str">
        <f>IF(OR(ACTIVIDADES!$I17="",L$4=""),"",IF(ACTIVIDADES!$I17=L$4,"●",IF(AND(ACTIVIDADES!$H17&lt;=L$4,ACTIVIDADES!$I17&gt;=L$4),"·","")))</f>
        <v/>
      </c>
      <c r="N17" s="8" t="str">
        <f>IF(OR(ACTIVIDADES!$I17="",M$4=""),"",IF(ACTIVIDADES!$I17=M$4,"●",IF(AND(ACTIVIDADES!$H17&lt;=M$4,ACTIVIDADES!$I17&gt;=M$4),"·","")))</f>
        <v/>
      </c>
      <c r="O17" s="8" t="str">
        <f>IF(OR(ACTIVIDADES!$I17="",N$4=""),"",IF(ACTIVIDADES!$I17=N$4,"●",IF(AND(ACTIVIDADES!$H17&lt;=N$4,ACTIVIDADES!$I17&gt;=N$4),"·","")))</f>
        <v/>
      </c>
      <c r="P17" s="8" t="str">
        <f>IF(OR(ACTIVIDADES!$I17="",O$4=""),"",IF(ACTIVIDADES!$I17=O$4,"●",IF(AND(ACTIVIDADES!$H17&lt;=O$4,ACTIVIDADES!$I17&gt;=O$4),"·","")))</f>
        <v/>
      </c>
      <c r="Q17" s="8" t="str">
        <f>IF(OR(ACTIVIDADES!$I17="",P$4=""),"",IF(ACTIVIDADES!$I17=P$4,"●",IF(AND(ACTIVIDADES!$H17&lt;=P$4,ACTIVIDADES!$I17&gt;=P$4),"·","")))</f>
        <v/>
      </c>
      <c r="R17" s="8" t="str">
        <f>IF(OR(ACTIVIDADES!$I17="",Q$4=""),"",IF(ACTIVIDADES!$I17=Q$4,"●",IF(AND(ACTIVIDADES!$H17&lt;=Q$4,ACTIVIDADES!$I17&gt;=Q$4),"·","")))</f>
        <v/>
      </c>
      <c r="S17" s="8" t="str">
        <f>IF(OR(ACTIVIDADES!$I17="",R$4=""),"",IF(ACTIVIDADES!$I17=R$4,"●",IF(AND(ACTIVIDADES!$H17&lt;=R$4,ACTIVIDADES!$I17&gt;=R$4),"·","")))</f>
        <v/>
      </c>
      <c r="T17" s="8" t="str">
        <f>IF(OR(ACTIVIDADES!$I17="",S$4=""),"",IF(ACTIVIDADES!$I17=S$4,"●",IF(AND(ACTIVIDADES!$H17&lt;=S$4,ACTIVIDADES!$I17&gt;=S$4),"·","")))</f>
        <v/>
      </c>
      <c r="U17" s="8" t="str">
        <f>IF(OR(ACTIVIDADES!$I17="",T$4=""),"",IF(ACTIVIDADES!$I17=T$4,"●",IF(AND(ACTIVIDADES!$H17&lt;=T$4,ACTIVIDADES!$I17&gt;=T$4),"·","")))</f>
        <v/>
      </c>
      <c r="V17" s="8" t="str">
        <f>IF(OR(ACTIVIDADES!$I17="",U$4=""),"",IF(ACTIVIDADES!$I17=U$4,"●",IF(AND(ACTIVIDADES!$H17&lt;=U$4,ACTIVIDADES!$I17&gt;=U$4),"·","")))</f>
        <v/>
      </c>
      <c r="W17" s="8" t="str">
        <f>IF(OR(ACTIVIDADES!$I17="",V$4=""),"",IF(ACTIVIDADES!$I17=V$4,"●",IF(AND(ACTIVIDADES!$H17&lt;=V$4,ACTIVIDADES!$I17&gt;=V$4),"·","")))</f>
        <v/>
      </c>
      <c r="X17" s="8" t="str">
        <f>IF(OR(ACTIVIDADES!$I17="",W$4=""),"",IF(ACTIVIDADES!$I17=W$4,"●",IF(AND(ACTIVIDADES!$H17&lt;=W$4,ACTIVIDADES!$I17&gt;=W$4),"·","")))</f>
        <v/>
      </c>
      <c r="Y17" s="8" t="str">
        <f>IF(OR(ACTIVIDADES!$I17="",X$4=""),"",IF(ACTIVIDADES!$I17=X$4,"●",IF(AND(ACTIVIDADES!$H17&lt;=X$4,ACTIVIDADES!$I17&gt;=X$4),"·","")))</f>
        <v/>
      </c>
      <c r="Z17" s="8" t="str">
        <f>IF(OR(ACTIVIDADES!$I17="",Y$4=""),"",IF(ACTIVIDADES!$I17=Y$4,"●",IF(AND(ACTIVIDADES!$H17&lt;=Y$4,ACTIVIDADES!$I17&gt;=Y$4),"·","")))</f>
        <v/>
      </c>
      <c r="AA17" s="8" t="str">
        <f>IF(OR(ACTIVIDADES!$I17="",Z$4=""),"",IF(ACTIVIDADES!$I17=Z$4,"●",IF(AND(ACTIVIDADES!$H17&lt;=Z$4,ACTIVIDADES!$I17&gt;=Z$4),"·","")))</f>
        <v/>
      </c>
      <c r="AB17" s="8" t="str">
        <f>IF(OR(ACTIVIDADES!$I17="",AA$4=""),"",IF(ACTIVIDADES!$I17=AA$4,"●",IF(AND(ACTIVIDADES!$H17&lt;=AA$4,ACTIVIDADES!$I17&gt;=AA$4),"·","")))</f>
        <v/>
      </c>
      <c r="AC17" s="8" t="str">
        <f>IF(OR(ACTIVIDADES!$I17="",AB$4=""),"",IF(ACTIVIDADES!$I17=AB$4,"●",IF(AND(ACTIVIDADES!$H17&lt;=AB$4,ACTIVIDADES!$I17&gt;=AB$4),"·","")))</f>
        <v/>
      </c>
      <c r="AD17" s="8" t="str">
        <f>IF(OR(ACTIVIDADES!$I17="",AC$4=""),"",IF(ACTIVIDADES!$I17=AC$4,"●",IF(AND(ACTIVIDADES!$H17&lt;=AC$4,ACTIVIDADES!$I17&gt;=AC$4),"·","")))</f>
        <v/>
      </c>
      <c r="AE17" s="8" t="str">
        <f>IF(OR(ACTIVIDADES!$I17="",AD$4=""),"",IF(ACTIVIDADES!$I17=AD$4,"●",IF(AND(ACTIVIDADES!$H17&lt;=AD$4,ACTIVIDADES!$I17&gt;=AD$4),"·","")))</f>
        <v>●</v>
      </c>
      <c r="AF17" s="8" t="str">
        <f>IF(OR(ACTIVIDADES!$I17="",AE$4=""),"",IF(ACTIVIDADES!$I17=AE$4,"●",IF(AND(ACTIVIDADES!$H17&lt;=AE$4,ACTIVIDADES!$I17&gt;=AE$4),"·","")))</f>
        <v/>
      </c>
      <c r="AG17" s="8" t="str">
        <f>IF(OR(ACTIVIDADES!$I17="",AF$4=""),"",IF(ACTIVIDADES!$I17=AF$4,"●",IF(AND(ACTIVIDADES!$H17&lt;=AF$4,ACTIVIDADES!$I17&gt;=AF$4),"·","")))</f>
        <v/>
      </c>
      <c r="AH17" s="8" t="str">
        <f>IF(OR(ACTIVIDADES!$I17="",AG$4=""),"",IF(ACTIVIDADES!$I17=AG$4,"●",IF(AND(ACTIVIDADES!$H17&lt;=AG$4,ACTIVIDADES!$I17&gt;=AG$4),"·","")))</f>
        <v/>
      </c>
      <c r="AI17" s="8" t="str">
        <f>IF(OR(ACTIVIDADES!$I17="",AH$4=""),"",IF(ACTIVIDADES!$I17=AH$4,"●",IF(AND(ACTIVIDADES!$H17&lt;=AH$4,ACTIVIDADES!$I17&gt;=AH$4),"·","")))</f>
        <v/>
      </c>
      <c r="AJ17" t="str">
        <f>IF(ACTIVIDADES!K17="","",ACTIVIDADES!K17)</f>
        <v>Pendiente</v>
      </c>
    </row>
    <row r="18" spans="1:36">
      <c r="A18" t="str">
        <f>IF(ACTIVIDADES!A18="","",ACTIVIDADES!A18)</f>
        <v>02.07</v>
      </c>
      <c r="B18" t="str">
        <f>IF(ACTIVIDADES!B18="","",ACTIVIDADES!B18)</f>
        <v>CDJ CANTONES</v>
      </c>
      <c r="C18" t="str">
        <f>IF(ACTIVIDADES!C18="","",ACTIVIDADES!C18)</f>
        <v>Corte</v>
      </c>
      <c r="D18" t="str">
        <f>IF(ACTIVIDADES!D18="","",ACTIVIDADES!D18)</f>
        <v>Preparar y entregar corte del día 30</v>
      </c>
      <c r="E18" s="8" t="str">
        <f>IF(OR(ACTIVIDADES!$I18="",D$4=""),"",IF(ACTIVIDADES!$I18=D$4,"●",IF(AND(ACTIVIDADES!$H18&lt;=D$4,ACTIVIDADES!$I18&gt;=D$4),"·","")))</f>
        <v/>
      </c>
      <c r="F18" s="8" t="str">
        <f>IF(OR(ACTIVIDADES!$I18="",E$4=""),"",IF(ACTIVIDADES!$I18=E$4,"●",IF(AND(ACTIVIDADES!$H18&lt;=E$4,ACTIVIDADES!$I18&gt;=E$4),"·","")))</f>
        <v/>
      </c>
      <c r="G18" s="8" t="str">
        <f>IF(OR(ACTIVIDADES!$I18="",F$4=""),"",IF(ACTIVIDADES!$I18=F$4,"●",IF(AND(ACTIVIDADES!$H18&lt;=F$4,ACTIVIDADES!$I18&gt;=F$4),"·","")))</f>
        <v/>
      </c>
      <c r="H18" s="8" t="str">
        <f>IF(OR(ACTIVIDADES!$I18="",G$4=""),"",IF(ACTIVIDADES!$I18=G$4,"●",IF(AND(ACTIVIDADES!$H18&lt;=G$4,ACTIVIDADES!$I18&gt;=G$4),"·","")))</f>
        <v/>
      </c>
      <c r="I18" s="8" t="str">
        <f>IF(OR(ACTIVIDADES!$I18="",H$4=""),"",IF(ACTIVIDADES!$I18=H$4,"●",IF(AND(ACTIVIDADES!$H18&lt;=H$4,ACTIVIDADES!$I18&gt;=H$4),"·","")))</f>
        <v/>
      </c>
      <c r="J18" s="8" t="str">
        <f>IF(OR(ACTIVIDADES!$I18="",I$4=""),"",IF(ACTIVIDADES!$I18=I$4,"●",IF(AND(ACTIVIDADES!$H18&lt;=I$4,ACTIVIDADES!$I18&gt;=I$4),"·","")))</f>
        <v/>
      </c>
      <c r="K18" s="8" t="str">
        <f>IF(OR(ACTIVIDADES!$I18="",J$4=""),"",IF(ACTIVIDADES!$I18=J$4,"●",IF(AND(ACTIVIDADES!$H18&lt;=J$4,ACTIVIDADES!$I18&gt;=J$4),"·","")))</f>
        <v/>
      </c>
      <c r="L18" s="8" t="str">
        <f>IF(OR(ACTIVIDADES!$I18="",K$4=""),"",IF(ACTIVIDADES!$I18=K$4,"●",IF(AND(ACTIVIDADES!$H18&lt;=K$4,ACTIVIDADES!$I18&gt;=K$4),"·","")))</f>
        <v/>
      </c>
      <c r="M18" s="8" t="str">
        <f>IF(OR(ACTIVIDADES!$I18="",L$4=""),"",IF(ACTIVIDADES!$I18=L$4,"●",IF(AND(ACTIVIDADES!$H18&lt;=L$4,ACTIVIDADES!$I18&gt;=L$4),"·","")))</f>
        <v/>
      </c>
      <c r="N18" s="8" t="str">
        <f>IF(OR(ACTIVIDADES!$I18="",M$4=""),"",IF(ACTIVIDADES!$I18=M$4,"●",IF(AND(ACTIVIDADES!$H18&lt;=M$4,ACTIVIDADES!$I18&gt;=M$4),"·","")))</f>
        <v/>
      </c>
      <c r="O18" s="8" t="str">
        <f>IF(OR(ACTIVIDADES!$I18="",N$4=""),"",IF(ACTIVIDADES!$I18=N$4,"●",IF(AND(ACTIVIDADES!$H18&lt;=N$4,ACTIVIDADES!$I18&gt;=N$4),"·","")))</f>
        <v/>
      </c>
      <c r="P18" s="8" t="str">
        <f>IF(OR(ACTIVIDADES!$I18="",O$4=""),"",IF(ACTIVIDADES!$I18=O$4,"●",IF(AND(ACTIVIDADES!$H18&lt;=O$4,ACTIVIDADES!$I18&gt;=O$4),"·","")))</f>
        <v/>
      </c>
      <c r="Q18" s="8" t="str">
        <f>IF(OR(ACTIVIDADES!$I18="",P$4=""),"",IF(ACTIVIDADES!$I18=P$4,"●",IF(AND(ACTIVIDADES!$H18&lt;=P$4,ACTIVIDADES!$I18&gt;=P$4),"·","")))</f>
        <v/>
      </c>
      <c r="R18" s="8" t="str">
        <f>IF(OR(ACTIVIDADES!$I18="",Q$4=""),"",IF(ACTIVIDADES!$I18=Q$4,"●",IF(AND(ACTIVIDADES!$H18&lt;=Q$4,ACTIVIDADES!$I18&gt;=Q$4),"·","")))</f>
        <v/>
      </c>
      <c r="S18" s="8" t="str">
        <f>IF(OR(ACTIVIDADES!$I18="",R$4=""),"",IF(ACTIVIDADES!$I18=R$4,"●",IF(AND(ACTIVIDADES!$H18&lt;=R$4,ACTIVIDADES!$I18&gt;=R$4),"·","")))</f>
        <v/>
      </c>
      <c r="T18" s="8" t="str">
        <f>IF(OR(ACTIVIDADES!$I18="",S$4=""),"",IF(ACTIVIDADES!$I18=S$4,"●",IF(AND(ACTIVIDADES!$H18&lt;=S$4,ACTIVIDADES!$I18&gt;=S$4),"·","")))</f>
        <v/>
      </c>
      <c r="U18" s="8" t="str">
        <f>IF(OR(ACTIVIDADES!$I18="",T$4=""),"",IF(ACTIVIDADES!$I18=T$4,"●",IF(AND(ACTIVIDADES!$H18&lt;=T$4,ACTIVIDADES!$I18&gt;=T$4),"·","")))</f>
        <v/>
      </c>
      <c r="V18" s="8" t="str">
        <f>IF(OR(ACTIVIDADES!$I18="",U$4=""),"",IF(ACTIVIDADES!$I18=U$4,"●",IF(AND(ACTIVIDADES!$H18&lt;=U$4,ACTIVIDADES!$I18&gt;=U$4),"·","")))</f>
        <v/>
      </c>
      <c r="W18" s="8" t="str">
        <f>IF(OR(ACTIVIDADES!$I18="",V$4=""),"",IF(ACTIVIDADES!$I18=V$4,"●",IF(AND(ACTIVIDADES!$H18&lt;=V$4,ACTIVIDADES!$I18&gt;=V$4),"·","")))</f>
        <v/>
      </c>
      <c r="X18" s="8" t="str">
        <f>IF(OR(ACTIVIDADES!$I18="",W$4=""),"",IF(ACTIVIDADES!$I18=W$4,"●",IF(AND(ACTIVIDADES!$H18&lt;=W$4,ACTIVIDADES!$I18&gt;=W$4),"·","")))</f>
        <v/>
      </c>
      <c r="Y18" s="8" t="str">
        <f>IF(OR(ACTIVIDADES!$I18="",X$4=""),"",IF(ACTIVIDADES!$I18=X$4,"●",IF(AND(ACTIVIDADES!$H18&lt;=X$4,ACTIVIDADES!$I18&gt;=X$4),"·","")))</f>
        <v/>
      </c>
      <c r="Z18" s="8" t="str">
        <f>IF(OR(ACTIVIDADES!$I18="",Y$4=""),"",IF(ACTIVIDADES!$I18=Y$4,"●",IF(AND(ACTIVIDADES!$H18&lt;=Y$4,ACTIVIDADES!$I18&gt;=Y$4),"·","")))</f>
        <v/>
      </c>
      <c r="AA18" s="8" t="str">
        <f>IF(OR(ACTIVIDADES!$I18="",Z$4=""),"",IF(ACTIVIDADES!$I18=Z$4,"●",IF(AND(ACTIVIDADES!$H18&lt;=Z$4,ACTIVIDADES!$I18&gt;=Z$4),"·","")))</f>
        <v/>
      </c>
      <c r="AB18" s="8" t="str">
        <f>IF(OR(ACTIVIDADES!$I18="",AA$4=""),"",IF(ACTIVIDADES!$I18=AA$4,"●",IF(AND(ACTIVIDADES!$H18&lt;=AA$4,ACTIVIDADES!$I18&gt;=AA$4),"·","")))</f>
        <v/>
      </c>
      <c r="AC18" s="8" t="str">
        <f>IF(OR(ACTIVIDADES!$I18="",AB$4=""),"",IF(ACTIVIDADES!$I18=AB$4,"●",IF(AND(ACTIVIDADES!$H18&lt;=AB$4,ACTIVIDADES!$I18&gt;=AB$4),"·","")))</f>
        <v/>
      </c>
      <c r="AD18" s="8" t="str">
        <f>IF(OR(ACTIVIDADES!$I18="",AC$4=""),"",IF(ACTIVIDADES!$I18=AC$4,"●",IF(AND(ACTIVIDADES!$H18&lt;=AC$4,ACTIVIDADES!$I18&gt;=AC$4),"·","")))</f>
        <v/>
      </c>
      <c r="AE18" s="8" t="str">
        <f>IF(OR(ACTIVIDADES!$I18="",AD$4=""),"",IF(ACTIVIDADES!$I18=AD$4,"●",IF(AND(ACTIVIDADES!$H18&lt;=AD$4,ACTIVIDADES!$I18&gt;=AD$4),"·","")))</f>
        <v/>
      </c>
      <c r="AF18" s="8" t="str">
        <f>IF(OR(ACTIVIDADES!$I18="",AE$4=""),"",IF(ACTIVIDADES!$I18=AE$4,"●",IF(AND(ACTIVIDADES!$H18&lt;=AE$4,ACTIVIDADES!$I18&gt;=AE$4),"·","")))</f>
        <v/>
      </c>
      <c r="AG18" s="8" t="str">
        <f>IF(OR(ACTIVIDADES!$I18="",AF$4=""),"",IF(ACTIVIDADES!$I18=AF$4,"●",IF(AND(ACTIVIDADES!$H18&lt;=AF$4,ACTIVIDADES!$I18&gt;=AF$4),"·","")))</f>
        <v/>
      </c>
      <c r="AH18" s="8" t="str">
        <f>IF(OR(ACTIVIDADES!$I18="",AG$4=""),"",IF(ACTIVIDADES!$I18=AG$4,"●",IF(AND(ACTIVIDADES!$H18&lt;=AG$4,ACTIVIDADES!$I18&gt;=AG$4),"·","")))</f>
        <v/>
      </c>
      <c r="AI18" s="8" t="str">
        <f>IF(OR(ACTIVIDADES!$I18="",AH$4=""),"",IF(ACTIVIDADES!$I18=AH$4,"●",IF(AND(ACTIVIDADES!$H18&lt;=AH$4,ACTIVIDADES!$I18&gt;=AH$4),"·","")))</f>
        <v>●</v>
      </c>
      <c r="AJ18" t="str">
        <f>IF(ACTIVIDADES!K18="","",ACTIVIDADES!K18)</f>
        <v>Pendiente</v>
      </c>
    </row>
    <row r="19" spans="1:36">
      <c r="A19" t="str">
        <f>IF(ACTIVIDADES!A19="","",ACTIVIDADES!A19)</f>
        <v>03.01</v>
      </c>
      <c r="B19" t="str">
        <f>IF(ACTIVIDADES!B19="","",ACTIVIDADES!B19)</f>
        <v>HOSP. MERCED</v>
      </c>
      <c r="C19" t="str">
        <f>IF(ACTIVIDADES!C19="","",ACTIVIDADES!C19)</f>
        <v>Informe</v>
      </c>
      <c r="D19" t="str">
        <f>IF(ACTIVIDADES!D19="","",ACTIVIDADES!D19)</f>
        <v>Solicitar y entregar informe mensual</v>
      </c>
      <c r="E19" s="8" t="str">
        <f>IF(OR(ACTIVIDADES!$I19="",D$4=""),"",IF(ACTIVIDADES!$I19=D$4,"●",IF(AND(ACTIVIDADES!$H19&lt;=D$4,ACTIVIDADES!$I19&gt;=D$4),"·","")))</f>
        <v/>
      </c>
      <c r="F19" s="8" t="str">
        <f>IF(OR(ACTIVIDADES!$I19="",E$4=""),"",IF(ACTIVIDADES!$I19=E$4,"●",IF(AND(ACTIVIDADES!$H19&lt;=E$4,ACTIVIDADES!$I19&gt;=E$4),"·","")))</f>
        <v/>
      </c>
      <c r="G19" s="8" t="str">
        <f>IF(OR(ACTIVIDADES!$I19="",F$4=""),"",IF(ACTIVIDADES!$I19=F$4,"●",IF(AND(ACTIVIDADES!$H19&lt;=F$4,ACTIVIDADES!$I19&gt;=F$4),"·","")))</f>
        <v>·</v>
      </c>
      <c r="H19" s="8" t="str">
        <f>IF(OR(ACTIVIDADES!$I19="",G$4=""),"",IF(ACTIVIDADES!$I19=G$4,"●",IF(AND(ACTIVIDADES!$H19&lt;=G$4,ACTIVIDADES!$I19&gt;=G$4),"·","")))</f>
        <v>·</v>
      </c>
      <c r="I19" s="8" t="str">
        <f>IF(OR(ACTIVIDADES!$I19="",H$4=""),"",IF(ACTIVIDADES!$I19=H$4,"●",IF(AND(ACTIVIDADES!$H19&lt;=H$4,ACTIVIDADES!$I19&gt;=H$4),"·","")))</f>
        <v>·</v>
      </c>
      <c r="J19" s="8" t="str">
        <f>IF(OR(ACTIVIDADES!$I19="",I$4=""),"",IF(ACTIVIDADES!$I19=I$4,"●",IF(AND(ACTIVIDADES!$H19&lt;=I$4,ACTIVIDADES!$I19&gt;=I$4),"·","")))</f>
        <v>●</v>
      </c>
      <c r="K19" s="8" t="str">
        <f>IF(OR(ACTIVIDADES!$I19="",J$4=""),"",IF(ACTIVIDADES!$I19=J$4,"●",IF(AND(ACTIVIDADES!$H19&lt;=J$4,ACTIVIDADES!$I19&gt;=J$4),"·","")))</f>
        <v/>
      </c>
      <c r="L19" s="8" t="str">
        <f>IF(OR(ACTIVIDADES!$I19="",K$4=""),"",IF(ACTIVIDADES!$I19=K$4,"●",IF(AND(ACTIVIDADES!$H19&lt;=K$4,ACTIVIDADES!$I19&gt;=K$4),"·","")))</f>
        <v/>
      </c>
      <c r="M19" s="8" t="str">
        <f>IF(OR(ACTIVIDADES!$I19="",L$4=""),"",IF(ACTIVIDADES!$I19=L$4,"●",IF(AND(ACTIVIDADES!$H19&lt;=L$4,ACTIVIDADES!$I19&gt;=L$4),"·","")))</f>
        <v/>
      </c>
      <c r="N19" s="8" t="str">
        <f>IF(OR(ACTIVIDADES!$I19="",M$4=""),"",IF(ACTIVIDADES!$I19=M$4,"●",IF(AND(ACTIVIDADES!$H19&lt;=M$4,ACTIVIDADES!$I19&gt;=M$4),"·","")))</f>
        <v/>
      </c>
      <c r="O19" s="8" t="str">
        <f>IF(OR(ACTIVIDADES!$I19="",N$4=""),"",IF(ACTIVIDADES!$I19=N$4,"●",IF(AND(ACTIVIDADES!$H19&lt;=N$4,ACTIVIDADES!$I19&gt;=N$4),"·","")))</f>
        <v/>
      </c>
      <c r="P19" s="8" t="str">
        <f>IF(OR(ACTIVIDADES!$I19="",O$4=""),"",IF(ACTIVIDADES!$I19=O$4,"●",IF(AND(ACTIVIDADES!$H19&lt;=O$4,ACTIVIDADES!$I19&gt;=O$4),"·","")))</f>
        <v/>
      </c>
      <c r="Q19" s="8" t="str">
        <f>IF(OR(ACTIVIDADES!$I19="",P$4=""),"",IF(ACTIVIDADES!$I19=P$4,"●",IF(AND(ACTIVIDADES!$H19&lt;=P$4,ACTIVIDADES!$I19&gt;=P$4),"·","")))</f>
        <v/>
      </c>
      <c r="R19" s="8" t="str">
        <f>IF(OR(ACTIVIDADES!$I19="",Q$4=""),"",IF(ACTIVIDADES!$I19=Q$4,"●",IF(AND(ACTIVIDADES!$H19&lt;=Q$4,ACTIVIDADES!$I19&gt;=Q$4),"·","")))</f>
        <v/>
      </c>
      <c r="S19" s="8" t="str">
        <f>IF(OR(ACTIVIDADES!$I19="",R$4=""),"",IF(ACTIVIDADES!$I19=R$4,"●",IF(AND(ACTIVIDADES!$H19&lt;=R$4,ACTIVIDADES!$I19&gt;=R$4),"·","")))</f>
        <v/>
      </c>
      <c r="T19" s="8" t="str">
        <f>IF(OR(ACTIVIDADES!$I19="",S$4=""),"",IF(ACTIVIDADES!$I19=S$4,"●",IF(AND(ACTIVIDADES!$H19&lt;=S$4,ACTIVIDADES!$I19&gt;=S$4),"·","")))</f>
        <v/>
      </c>
      <c r="U19" s="8" t="str">
        <f>IF(OR(ACTIVIDADES!$I19="",T$4=""),"",IF(ACTIVIDADES!$I19=T$4,"●",IF(AND(ACTIVIDADES!$H19&lt;=T$4,ACTIVIDADES!$I19&gt;=T$4),"·","")))</f>
        <v/>
      </c>
      <c r="V19" s="8" t="str">
        <f>IF(OR(ACTIVIDADES!$I19="",U$4=""),"",IF(ACTIVIDADES!$I19=U$4,"●",IF(AND(ACTIVIDADES!$H19&lt;=U$4,ACTIVIDADES!$I19&gt;=U$4),"·","")))</f>
        <v/>
      </c>
      <c r="W19" s="8" t="str">
        <f>IF(OR(ACTIVIDADES!$I19="",V$4=""),"",IF(ACTIVIDADES!$I19=V$4,"●",IF(AND(ACTIVIDADES!$H19&lt;=V$4,ACTIVIDADES!$I19&gt;=V$4),"·","")))</f>
        <v/>
      </c>
      <c r="X19" s="8" t="str">
        <f>IF(OR(ACTIVIDADES!$I19="",W$4=""),"",IF(ACTIVIDADES!$I19=W$4,"●",IF(AND(ACTIVIDADES!$H19&lt;=W$4,ACTIVIDADES!$I19&gt;=W$4),"·","")))</f>
        <v/>
      </c>
      <c r="Y19" s="8" t="str">
        <f>IF(OR(ACTIVIDADES!$I19="",X$4=""),"",IF(ACTIVIDADES!$I19=X$4,"●",IF(AND(ACTIVIDADES!$H19&lt;=X$4,ACTIVIDADES!$I19&gt;=X$4),"·","")))</f>
        <v/>
      </c>
      <c r="Z19" s="8" t="str">
        <f>IF(OR(ACTIVIDADES!$I19="",Y$4=""),"",IF(ACTIVIDADES!$I19=Y$4,"●",IF(AND(ACTIVIDADES!$H19&lt;=Y$4,ACTIVIDADES!$I19&gt;=Y$4),"·","")))</f>
        <v/>
      </c>
      <c r="AA19" s="8" t="str">
        <f>IF(OR(ACTIVIDADES!$I19="",Z$4=""),"",IF(ACTIVIDADES!$I19=Z$4,"●",IF(AND(ACTIVIDADES!$H19&lt;=Z$4,ACTIVIDADES!$I19&gt;=Z$4),"·","")))</f>
        <v/>
      </c>
      <c r="AB19" s="8" t="str">
        <f>IF(OR(ACTIVIDADES!$I19="",AA$4=""),"",IF(ACTIVIDADES!$I19=AA$4,"●",IF(AND(ACTIVIDADES!$H19&lt;=AA$4,ACTIVIDADES!$I19&gt;=AA$4),"·","")))</f>
        <v/>
      </c>
      <c r="AC19" s="8" t="str">
        <f>IF(OR(ACTIVIDADES!$I19="",AB$4=""),"",IF(ACTIVIDADES!$I19=AB$4,"●",IF(AND(ACTIVIDADES!$H19&lt;=AB$4,ACTIVIDADES!$I19&gt;=AB$4),"·","")))</f>
        <v/>
      </c>
      <c r="AD19" s="8" t="str">
        <f>IF(OR(ACTIVIDADES!$I19="",AC$4=""),"",IF(ACTIVIDADES!$I19=AC$4,"●",IF(AND(ACTIVIDADES!$H19&lt;=AC$4,ACTIVIDADES!$I19&gt;=AC$4),"·","")))</f>
        <v/>
      </c>
      <c r="AE19" s="8" t="str">
        <f>IF(OR(ACTIVIDADES!$I19="",AD$4=""),"",IF(ACTIVIDADES!$I19=AD$4,"●",IF(AND(ACTIVIDADES!$H19&lt;=AD$4,ACTIVIDADES!$I19&gt;=AD$4),"·","")))</f>
        <v/>
      </c>
      <c r="AF19" s="8" t="str">
        <f>IF(OR(ACTIVIDADES!$I19="",AE$4=""),"",IF(ACTIVIDADES!$I19=AE$4,"●",IF(AND(ACTIVIDADES!$H19&lt;=AE$4,ACTIVIDADES!$I19&gt;=AE$4),"·","")))</f>
        <v/>
      </c>
      <c r="AG19" s="8" t="str">
        <f>IF(OR(ACTIVIDADES!$I19="",AF$4=""),"",IF(ACTIVIDADES!$I19=AF$4,"●",IF(AND(ACTIVIDADES!$H19&lt;=AF$4,ACTIVIDADES!$I19&gt;=AF$4),"·","")))</f>
        <v/>
      </c>
      <c r="AH19" s="8" t="str">
        <f>IF(OR(ACTIVIDADES!$I19="",AG$4=""),"",IF(ACTIVIDADES!$I19=AG$4,"●",IF(AND(ACTIVIDADES!$H19&lt;=AG$4,ACTIVIDADES!$I19&gt;=AG$4),"·","")))</f>
        <v/>
      </c>
      <c r="AI19" s="8" t="str">
        <f>IF(OR(ACTIVIDADES!$I19="",AH$4=""),"",IF(ACTIVIDADES!$I19=AH$4,"●",IF(AND(ACTIVIDADES!$H19&lt;=AH$4,ACTIVIDADES!$I19&gt;=AH$4),"·","")))</f>
        <v/>
      </c>
      <c r="AJ19" t="str">
        <f>IF(ACTIVIDADES!K19="","",ACTIVIDADES!K19)</f>
        <v>Cerrado</v>
      </c>
    </row>
    <row r="20" spans="1:36">
      <c r="A20" t="str">
        <f>IF(ACTIVIDADES!A20="","",ACTIVIDADES!A20)</f>
        <v>03.02</v>
      </c>
      <c r="B20" t="str">
        <f>IF(ACTIVIDADES!B20="","",ACTIVIDADES!B20)</f>
        <v>HOSP. MERCED</v>
      </c>
      <c r="C20" t="str">
        <f>IF(ACTIVIDADES!C20="","",ACTIVIDADES!C20)</f>
        <v>Abastecimiento</v>
      </c>
      <c r="D20" t="str">
        <f>IF(ACTIVIDADES!D20="","",ACTIVIDADES!D20)</f>
        <v>Solicitar requerimientos de insumos</v>
      </c>
      <c r="E20" s="8" t="str">
        <f>IF(OR(ACTIVIDADES!$I20="",D$4=""),"",IF(ACTIVIDADES!$I20=D$4,"●",IF(AND(ACTIVIDADES!$H20&lt;=D$4,ACTIVIDADES!$I20&gt;=D$4),"·","")))</f>
        <v/>
      </c>
      <c r="F20" s="8" t="str">
        <f>IF(OR(ACTIVIDADES!$I20="",E$4=""),"",IF(ACTIVIDADES!$I20=E$4,"●",IF(AND(ACTIVIDADES!$H20&lt;=E$4,ACTIVIDADES!$I20&gt;=E$4),"·","")))</f>
        <v/>
      </c>
      <c r="G20" s="8" t="str">
        <f>IF(OR(ACTIVIDADES!$I20="",F$4=""),"",IF(ACTIVIDADES!$I20=F$4,"●",IF(AND(ACTIVIDADES!$H20&lt;=F$4,ACTIVIDADES!$I20&gt;=F$4),"·","")))</f>
        <v/>
      </c>
      <c r="H20" s="8" t="str">
        <f>IF(OR(ACTIVIDADES!$I20="",G$4=""),"",IF(ACTIVIDADES!$I20=G$4,"●",IF(AND(ACTIVIDADES!$H20&lt;=G$4,ACTIVIDADES!$I20&gt;=G$4),"·","")))</f>
        <v/>
      </c>
      <c r="I20" s="8" t="str">
        <f>IF(OR(ACTIVIDADES!$I20="",H$4=""),"",IF(ACTIVIDADES!$I20=H$4,"●",IF(AND(ACTIVIDADES!$H20&lt;=H$4,ACTIVIDADES!$I20&gt;=H$4),"·","")))</f>
        <v/>
      </c>
      <c r="J20" s="8" t="str">
        <f>IF(OR(ACTIVIDADES!$I20="",I$4=""),"",IF(ACTIVIDADES!$I20=I$4,"●",IF(AND(ACTIVIDADES!$H20&lt;=I$4,ACTIVIDADES!$I20&gt;=I$4),"·","")))</f>
        <v/>
      </c>
      <c r="K20" s="8" t="str">
        <f>IF(OR(ACTIVIDADES!$I20="",J$4=""),"",IF(ACTIVIDADES!$I20=J$4,"●",IF(AND(ACTIVIDADES!$H20&lt;=J$4,ACTIVIDADES!$I20&gt;=J$4),"·","")))</f>
        <v/>
      </c>
      <c r="L20" s="8" t="str">
        <f>IF(OR(ACTIVIDADES!$I20="",K$4=""),"",IF(ACTIVIDADES!$I20=K$4,"●",IF(AND(ACTIVIDADES!$H20&lt;=K$4,ACTIVIDADES!$I20&gt;=K$4),"·","")))</f>
        <v/>
      </c>
      <c r="M20" s="8" t="str">
        <f>IF(OR(ACTIVIDADES!$I20="",L$4=""),"",IF(ACTIVIDADES!$I20=L$4,"●",IF(AND(ACTIVIDADES!$H20&lt;=L$4,ACTIVIDADES!$I20&gt;=L$4),"·","")))</f>
        <v/>
      </c>
      <c r="N20" s="8" t="str">
        <f>IF(OR(ACTIVIDADES!$I20="",M$4=""),"",IF(ACTIVIDADES!$I20=M$4,"●",IF(AND(ACTIVIDADES!$H20&lt;=M$4,ACTIVIDADES!$I20&gt;=M$4),"·","")))</f>
        <v/>
      </c>
      <c r="O20" s="8" t="str">
        <f>IF(OR(ACTIVIDADES!$I20="",N$4=""),"",IF(ACTIVIDADES!$I20=N$4,"●",IF(AND(ACTIVIDADES!$H20&lt;=N$4,ACTIVIDADES!$I20&gt;=N$4),"·","")))</f>
        <v/>
      </c>
      <c r="P20" s="8" t="str">
        <f>IF(OR(ACTIVIDADES!$I20="",O$4=""),"",IF(ACTIVIDADES!$I20=O$4,"●",IF(AND(ACTIVIDADES!$H20&lt;=O$4,ACTIVIDADES!$I20&gt;=O$4),"·","")))</f>
        <v/>
      </c>
      <c r="Q20" s="8" t="str">
        <f>IF(OR(ACTIVIDADES!$I20="",P$4=""),"",IF(ACTIVIDADES!$I20=P$4,"●",IF(AND(ACTIVIDADES!$H20&lt;=P$4,ACTIVIDADES!$I20&gt;=P$4),"·","")))</f>
        <v/>
      </c>
      <c r="R20" s="8" t="str">
        <f>IF(OR(ACTIVIDADES!$I20="",Q$4=""),"",IF(ACTIVIDADES!$I20=Q$4,"●",IF(AND(ACTIVIDADES!$H20&lt;=Q$4,ACTIVIDADES!$I20&gt;=Q$4),"·","")))</f>
        <v/>
      </c>
      <c r="S20" s="8" t="str">
        <f>IF(OR(ACTIVIDADES!$I20="",R$4=""),"",IF(ACTIVIDADES!$I20=R$4,"●",IF(AND(ACTIVIDADES!$H20&lt;=R$4,ACTIVIDADES!$I20&gt;=R$4),"·","")))</f>
        <v/>
      </c>
      <c r="T20" s="8" t="str">
        <f>IF(OR(ACTIVIDADES!$I20="",S$4=""),"",IF(ACTIVIDADES!$I20=S$4,"●",IF(AND(ACTIVIDADES!$H20&lt;=S$4,ACTIVIDADES!$I20&gt;=S$4),"·","")))</f>
        <v/>
      </c>
      <c r="U20" s="8" t="str">
        <f>IF(OR(ACTIVIDADES!$I20="",T$4=""),"",IF(ACTIVIDADES!$I20=T$4,"●",IF(AND(ACTIVIDADES!$H20&lt;=T$4,ACTIVIDADES!$I20&gt;=T$4),"·","")))</f>
        <v/>
      </c>
      <c r="V20" s="8" t="str">
        <f>IF(OR(ACTIVIDADES!$I20="",U$4=""),"",IF(ACTIVIDADES!$I20=U$4,"●",IF(AND(ACTIVIDADES!$H20&lt;=U$4,ACTIVIDADES!$I20&gt;=U$4),"·","")))</f>
        <v/>
      </c>
      <c r="W20" s="8" t="str">
        <f>IF(OR(ACTIVIDADES!$I20="",V$4=""),"",IF(ACTIVIDADES!$I20=V$4,"●",IF(AND(ACTIVIDADES!$H20&lt;=V$4,ACTIVIDADES!$I20&gt;=V$4),"·","")))</f>
        <v>·</v>
      </c>
      <c r="X20" s="8" t="str">
        <f>IF(OR(ACTIVIDADES!$I20="",W$4=""),"",IF(ACTIVIDADES!$I20=W$4,"●",IF(AND(ACTIVIDADES!$H20&lt;=W$4,ACTIVIDADES!$I20&gt;=W$4),"·","")))</f>
        <v>·</v>
      </c>
      <c r="Y20" s="8" t="str">
        <f>IF(OR(ACTIVIDADES!$I20="",X$4=""),"",IF(ACTIVIDADES!$I20=X$4,"●",IF(AND(ACTIVIDADES!$H20&lt;=X$4,ACTIVIDADES!$I20&gt;=X$4),"·","")))</f>
        <v>·</v>
      </c>
      <c r="Z20" s="8" t="str">
        <f>IF(OR(ACTIVIDADES!$I20="",Y$4=""),"",IF(ACTIVIDADES!$I20=Y$4,"●",IF(AND(ACTIVIDADES!$H20&lt;=Y$4,ACTIVIDADES!$I20&gt;=Y$4),"·","")))</f>
        <v>·</v>
      </c>
      <c r="AA20" s="8" t="str">
        <f>IF(OR(ACTIVIDADES!$I20="",Z$4=""),"",IF(ACTIVIDADES!$I20=Z$4,"●",IF(AND(ACTIVIDADES!$H20&lt;=Z$4,ACTIVIDADES!$I20&gt;=Z$4),"·","")))</f>
        <v>·</v>
      </c>
      <c r="AB20" s="8" t="str">
        <f>IF(OR(ACTIVIDADES!$I20="",AA$4=""),"",IF(ACTIVIDADES!$I20=AA$4,"●",IF(AND(ACTIVIDADES!$H20&lt;=AA$4,ACTIVIDADES!$I20&gt;=AA$4),"·","")))</f>
        <v>●</v>
      </c>
      <c r="AC20" s="8" t="str">
        <f>IF(OR(ACTIVIDADES!$I20="",AB$4=""),"",IF(ACTIVIDADES!$I20=AB$4,"●",IF(AND(ACTIVIDADES!$H20&lt;=AB$4,ACTIVIDADES!$I20&gt;=AB$4),"·","")))</f>
        <v/>
      </c>
      <c r="AD20" s="8" t="str">
        <f>IF(OR(ACTIVIDADES!$I20="",AC$4=""),"",IF(ACTIVIDADES!$I20=AC$4,"●",IF(AND(ACTIVIDADES!$H20&lt;=AC$4,ACTIVIDADES!$I20&gt;=AC$4),"·","")))</f>
        <v/>
      </c>
      <c r="AE20" s="8" t="str">
        <f>IF(OR(ACTIVIDADES!$I20="",AD$4=""),"",IF(ACTIVIDADES!$I20=AD$4,"●",IF(AND(ACTIVIDADES!$H20&lt;=AD$4,ACTIVIDADES!$I20&gt;=AD$4),"·","")))</f>
        <v/>
      </c>
      <c r="AF20" s="8" t="str">
        <f>IF(OR(ACTIVIDADES!$I20="",AE$4=""),"",IF(ACTIVIDADES!$I20=AE$4,"●",IF(AND(ACTIVIDADES!$H20&lt;=AE$4,ACTIVIDADES!$I20&gt;=AE$4),"·","")))</f>
        <v/>
      </c>
      <c r="AG20" s="8" t="str">
        <f>IF(OR(ACTIVIDADES!$I20="",AF$4=""),"",IF(ACTIVIDADES!$I20=AF$4,"●",IF(AND(ACTIVIDADES!$H20&lt;=AF$4,ACTIVIDADES!$I20&gt;=AF$4),"·","")))</f>
        <v/>
      </c>
      <c r="AH20" s="8" t="str">
        <f>IF(OR(ACTIVIDADES!$I20="",AG$4=""),"",IF(ACTIVIDADES!$I20=AG$4,"●",IF(AND(ACTIVIDADES!$H20&lt;=AG$4,ACTIVIDADES!$I20&gt;=AG$4),"·","")))</f>
        <v/>
      </c>
      <c r="AI20" s="8" t="str">
        <f>IF(OR(ACTIVIDADES!$I20="",AH$4=""),"",IF(ACTIVIDADES!$I20=AH$4,"●",IF(AND(ACTIVIDADES!$H20&lt;=AH$4,ACTIVIDADES!$I20&gt;=AH$4),"·","")))</f>
        <v/>
      </c>
      <c r="AJ20" t="str">
        <f>IF(ACTIVIDADES!K20="","",ACTIVIDADES!K20)</f>
        <v>Pendiente</v>
      </c>
    </row>
    <row r="21" spans="1:36">
      <c r="A21" t="str">
        <f>IF(ACTIVIDADES!A21="","",ACTIVIDADES!A21)</f>
        <v>03.03</v>
      </c>
      <c r="B21" t="str">
        <f>IF(ACTIVIDADES!B21="","",ACTIVIDADES!B21)</f>
        <v>HOSP. MERCED</v>
      </c>
      <c r="C21" t="str">
        <f>IF(ACTIVIDADES!C21="","",ACTIVIDADES!C21)</f>
        <v>Corte</v>
      </c>
      <c r="D21" t="str">
        <f>IF(ACTIVIDADES!D21="","",ACTIVIDADES!D21)</f>
        <v>Preparar y entregar corte del día 5</v>
      </c>
      <c r="E21" s="8" t="str">
        <f>IF(OR(ACTIVIDADES!$I21="",D$4=""),"",IF(ACTIVIDADES!$I21=D$4,"●",IF(AND(ACTIVIDADES!$H21&lt;=D$4,ACTIVIDADES!$I21&gt;=D$4),"·","")))</f>
        <v/>
      </c>
      <c r="F21" s="8" t="str">
        <f>IF(OR(ACTIVIDADES!$I21="",E$4=""),"",IF(ACTIVIDADES!$I21=E$4,"●",IF(AND(ACTIVIDADES!$H21&lt;=E$4,ACTIVIDADES!$I21&gt;=E$4),"·","")))</f>
        <v/>
      </c>
      <c r="G21" s="8" t="str">
        <f>IF(OR(ACTIVIDADES!$I21="",F$4=""),"",IF(ACTIVIDADES!$I21=F$4,"●",IF(AND(ACTIVIDADES!$H21&lt;=F$4,ACTIVIDADES!$I21&gt;=F$4),"·","")))</f>
        <v/>
      </c>
      <c r="H21" s="8" t="str">
        <f>IF(OR(ACTIVIDADES!$I21="",G$4=""),"",IF(ACTIVIDADES!$I21=G$4,"●",IF(AND(ACTIVIDADES!$H21&lt;=G$4,ACTIVIDADES!$I21&gt;=G$4),"·","")))</f>
        <v/>
      </c>
      <c r="I21" s="8" t="str">
        <f>IF(OR(ACTIVIDADES!$I21="",H$4=""),"",IF(ACTIVIDADES!$I21=H$4,"●",IF(AND(ACTIVIDADES!$H21&lt;=H$4,ACTIVIDADES!$I21&gt;=H$4),"·","")))</f>
        <v/>
      </c>
      <c r="J21" s="8" t="str">
        <f>IF(OR(ACTIVIDADES!$I21="",I$4=""),"",IF(ACTIVIDADES!$I21=I$4,"●",IF(AND(ACTIVIDADES!$H21&lt;=I$4,ACTIVIDADES!$I21&gt;=I$4),"·","")))</f>
        <v>●</v>
      </c>
      <c r="K21" s="8" t="str">
        <f>IF(OR(ACTIVIDADES!$I21="",J$4=""),"",IF(ACTIVIDADES!$I21=J$4,"●",IF(AND(ACTIVIDADES!$H21&lt;=J$4,ACTIVIDADES!$I21&gt;=J$4),"·","")))</f>
        <v/>
      </c>
      <c r="L21" s="8" t="str">
        <f>IF(OR(ACTIVIDADES!$I21="",K$4=""),"",IF(ACTIVIDADES!$I21=K$4,"●",IF(AND(ACTIVIDADES!$H21&lt;=K$4,ACTIVIDADES!$I21&gt;=K$4),"·","")))</f>
        <v/>
      </c>
      <c r="M21" s="8" t="str">
        <f>IF(OR(ACTIVIDADES!$I21="",L$4=""),"",IF(ACTIVIDADES!$I21=L$4,"●",IF(AND(ACTIVIDADES!$H21&lt;=L$4,ACTIVIDADES!$I21&gt;=L$4),"·","")))</f>
        <v/>
      </c>
      <c r="N21" s="8" t="str">
        <f>IF(OR(ACTIVIDADES!$I21="",M$4=""),"",IF(ACTIVIDADES!$I21=M$4,"●",IF(AND(ACTIVIDADES!$H21&lt;=M$4,ACTIVIDADES!$I21&gt;=M$4),"·","")))</f>
        <v/>
      </c>
      <c r="O21" s="8" t="str">
        <f>IF(OR(ACTIVIDADES!$I21="",N$4=""),"",IF(ACTIVIDADES!$I21=N$4,"●",IF(AND(ACTIVIDADES!$H21&lt;=N$4,ACTIVIDADES!$I21&gt;=N$4),"·","")))</f>
        <v/>
      </c>
      <c r="P21" s="8" t="str">
        <f>IF(OR(ACTIVIDADES!$I21="",O$4=""),"",IF(ACTIVIDADES!$I21=O$4,"●",IF(AND(ACTIVIDADES!$H21&lt;=O$4,ACTIVIDADES!$I21&gt;=O$4),"·","")))</f>
        <v/>
      </c>
      <c r="Q21" s="8" t="str">
        <f>IF(OR(ACTIVIDADES!$I21="",P$4=""),"",IF(ACTIVIDADES!$I21=P$4,"●",IF(AND(ACTIVIDADES!$H21&lt;=P$4,ACTIVIDADES!$I21&gt;=P$4),"·","")))</f>
        <v/>
      </c>
      <c r="R21" s="8" t="str">
        <f>IF(OR(ACTIVIDADES!$I21="",Q$4=""),"",IF(ACTIVIDADES!$I21=Q$4,"●",IF(AND(ACTIVIDADES!$H21&lt;=Q$4,ACTIVIDADES!$I21&gt;=Q$4),"·","")))</f>
        <v/>
      </c>
      <c r="S21" s="8" t="str">
        <f>IF(OR(ACTIVIDADES!$I21="",R$4=""),"",IF(ACTIVIDADES!$I21=R$4,"●",IF(AND(ACTIVIDADES!$H21&lt;=R$4,ACTIVIDADES!$I21&gt;=R$4),"·","")))</f>
        <v/>
      </c>
      <c r="T21" s="8" t="str">
        <f>IF(OR(ACTIVIDADES!$I21="",S$4=""),"",IF(ACTIVIDADES!$I21=S$4,"●",IF(AND(ACTIVIDADES!$H21&lt;=S$4,ACTIVIDADES!$I21&gt;=S$4),"·","")))</f>
        <v/>
      </c>
      <c r="U21" s="8" t="str">
        <f>IF(OR(ACTIVIDADES!$I21="",T$4=""),"",IF(ACTIVIDADES!$I21=T$4,"●",IF(AND(ACTIVIDADES!$H21&lt;=T$4,ACTIVIDADES!$I21&gt;=T$4),"·","")))</f>
        <v/>
      </c>
      <c r="V21" s="8" t="str">
        <f>IF(OR(ACTIVIDADES!$I21="",U$4=""),"",IF(ACTIVIDADES!$I21=U$4,"●",IF(AND(ACTIVIDADES!$H21&lt;=U$4,ACTIVIDADES!$I21&gt;=U$4),"·","")))</f>
        <v/>
      </c>
      <c r="W21" s="8" t="str">
        <f>IF(OR(ACTIVIDADES!$I21="",V$4=""),"",IF(ACTIVIDADES!$I21=V$4,"●",IF(AND(ACTIVIDADES!$H21&lt;=V$4,ACTIVIDADES!$I21&gt;=V$4),"·","")))</f>
        <v/>
      </c>
      <c r="X21" s="8" t="str">
        <f>IF(OR(ACTIVIDADES!$I21="",W$4=""),"",IF(ACTIVIDADES!$I21=W$4,"●",IF(AND(ACTIVIDADES!$H21&lt;=W$4,ACTIVIDADES!$I21&gt;=W$4),"·","")))</f>
        <v/>
      </c>
      <c r="Y21" s="8" t="str">
        <f>IF(OR(ACTIVIDADES!$I21="",X$4=""),"",IF(ACTIVIDADES!$I21=X$4,"●",IF(AND(ACTIVIDADES!$H21&lt;=X$4,ACTIVIDADES!$I21&gt;=X$4),"·","")))</f>
        <v/>
      </c>
      <c r="Z21" s="8" t="str">
        <f>IF(OR(ACTIVIDADES!$I21="",Y$4=""),"",IF(ACTIVIDADES!$I21=Y$4,"●",IF(AND(ACTIVIDADES!$H21&lt;=Y$4,ACTIVIDADES!$I21&gt;=Y$4),"·","")))</f>
        <v/>
      </c>
      <c r="AA21" s="8" t="str">
        <f>IF(OR(ACTIVIDADES!$I21="",Z$4=""),"",IF(ACTIVIDADES!$I21=Z$4,"●",IF(AND(ACTIVIDADES!$H21&lt;=Z$4,ACTIVIDADES!$I21&gt;=Z$4),"·","")))</f>
        <v/>
      </c>
      <c r="AB21" s="8" t="str">
        <f>IF(OR(ACTIVIDADES!$I21="",AA$4=""),"",IF(ACTIVIDADES!$I21=AA$4,"●",IF(AND(ACTIVIDADES!$H21&lt;=AA$4,ACTIVIDADES!$I21&gt;=AA$4),"·","")))</f>
        <v/>
      </c>
      <c r="AC21" s="8" t="str">
        <f>IF(OR(ACTIVIDADES!$I21="",AB$4=""),"",IF(ACTIVIDADES!$I21=AB$4,"●",IF(AND(ACTIVIDADES!$H21&lt;=AB$4,ACTIVIDADES!$I21&gt;=AB$4),"·","")))</f>
        <v/>
      </c>
      <c r="AD21" s="8" t="str">
        <f>IF(OR(ACTIVIDADES!$I21="",AC$4=""),"",IF(ACTIVIDADES!$I21=AC$4,"●",IF(AND(ACTIVIDADES!$H21&lt;=AC$4,ACTIVIDADES!$I21&gt;=AC$4),"·","")))</f>
        <v/>
      </c>
      <c r="AE21" s="8" t="str">
        <f>IF(OR(ACTIVIDADES!$I21="",AD$4=""),"",IF(ACTIVIDADES!$I21=AD$4,"●",IF(AND(ACTIVIDADES!$H21&lt;=AD$4,ACTIVIDADES!$I21&gt;=AD$4),"·","")))</f>
        <v/>
      </c>
      <c r="AF21" s="8" t="str">
        <f>IF(OR(ACTIVIDADES!$I21="",AE$4=""),"",IF(ACTIVIDADES!$I21=AE$4,"●",IF(AND(ACTIVIDADES!$H21&lt;=AE$4,ACTIVIDADES!$I21&gt;=AE$4),"·","")))</f>
        <v/>
      </c>
      <c r="AG21" s="8" t="str">
        <f>IF(OR(ACTIVIDADES!$I21="",AF$4=""),"",IF(ACTIVIDADES!$I21=AF$4,"●",IF(AND(ACTIVIDADES!$H21&lt;=AF$4,ACTIVIDADES!$I21&gt;=AF$4),"·","")))</f>
        <v/>
      </c>
      <c r="AH21" s="8" t="str">
        <f>IF(OR(ACTIVIDADES!$I21="",AG$4=""),"",IF(ACTIVIDADES!$I21=AG$4,"●",IF(AND(ACTIVIDADES!$H21&lt;=AG$4,ACTIVIDADES!$I21&gt;=AG$4),"·","")))</f>
        <v/>
      </c>
      <c r="AI21" s="8" t="str">
        <f>IF(OR(ACTIVIDADES!$I21="",AH$4=""),"",IF(ACTIVIDADES!$I21=AH$4,"●",IF(AND(ACTIVIDADES!$H21&lt;=AH$4,ACTIVIDADES!$I21&gt;=AH$4),"·","")))</f>
        <v/>
      </c>
      <c r="AJ21" t="str">
        <f>IF(ACTIVIDADES!K21="","",ACTIVIDADES!K21)</f>
        <v>Cerrado</v>
      </c>
    </row>
    <row r="22" spans="1:36">
      <c r="A22" t="str">
        <f>IF(ACTIVIDADES!A22="","",ACTIVIDADES!A22)</f>
        <v>03.04</v>
      </c>
      <c r="B22" t="str">
        <f>IF(ACTIVIDADES!B22="","",ACTIVIDADES!B22)</f>
        <v>HOSP. MERCED</v>
      </c>
      <c r="C22" t="str">
        <f>IF(ACTIVIDADES!C22="","",ACTIVIDADES!C22)</f>
        <v>Corte</v>
      </c>
      <c r="D22" t="str">
        <f>IF(ACTIVIDADES!D22="","",ACTIVIDADES!D22)</f>
        <v>Preparar y entregar corte del día 10</v>
      </c>
      <c r="E22" s="8" t="str">
        <f>IF(OR(ACTIVIDADES!$I22="",D$4=""),"",IF(ACTIVIDADES!$I22=D$4,"●",IF(AND(ACTIVIDADES!$H22&lt;=D$4,ACTIVIDADES!$I22&gt;=D$4),"·","")))</f>
        <v/>
      </c>
      <c r="F22" s="8" t="str">
        <f>IF(OR(ACTIVIDADES!$I22="",E$4=""),"",IF(ACTIVIDADES!$I22=E$4,"●",IF(AND(ACTIVIDADES!$H22&lt;=E$4,ACTIVIDADES!$I22&gt;=E$4),"·","")))</f>
        <v/>
      </c>
      <c r="G22" s="8" t="str">
        <f>IF(OR(ACTIVIDADES!$I22="",F$4=""),"",IF(ACTIVIDADES!$I22=F$4,"●",IF(AND(ACTIVIDADES!$H22&lt;=F$4,ACTIVIDADES!$I22&gt;=F$4),"·","")))</f>
        <v/>
      </c>
      <c r="H22" s="8" t="str">
        <f>IF(OR(ACTIVIDADES!$I22="",G$4=""),"",IF(ACTIVIDADES!$I22=G$4,"●",IF(AND(ACTIVIDADES!$H22&lt;=G$4,ACTIVIDADES!$I22&gt;=G$4),"·","")))</f>
        <v/>
      </c>
      <c r="I22" s="8" t="str">
        <f>IF(OR(ACTIVIDADES!$I22="",H$4=""),"",IF(ACTIVIDADES!$I22=H$4,"●",IF(AND(ACTIVIDADES!$H22&lt;=H$4,ACTIVIDADES!$I22&gt;=H$4),"·","")))</f>
        <v/>
      </c>
      <c r="J22" s="8" t="str">
        <f>IF(OR(ACTIVIDADES!$I22="",I$4=""),"",IF(ACTIVIDADES!$I22=I$4,"●",IF(AND(ACTIVIDADES!$H22&lt;=I$4,ACTIVIDADES!$I22&gt;=I$4),"·","")))</f>
        <v/>
      </c>
      <c r="K22" s="8" t="str">
        <f>IF(OR(ACTIVIDADES!$I22="",J$4=""),"",IF(ACTIVIDADES!$I22=J$4,"●",IF(AND(ACTIVIDADES!$H22&lt;=J$4,ACTIVIDADES!$I22&gt;=J$4),"·","")))</f>
        <v/>
      </c>
      <c r="L22" s="8" t="str">
        <f>IF(OR(ACTIVIDADES!$I22="",K$4=""),"",IF(ACTIVIDADES!$I22=K$4,"●",IF(AND(ACTIVIDADES!$H22&lt;=K$4,ACTIVIDADES!$I22&gt;=K$4),"·","")))</f>
        <v/>
      </c>
      <c r="M22" s="8" t="str">
        <f>IF(OR(ACTIVIDADES!$I22="",L$4=""),"",IF(ACTIVIDADES!$I22=L$4,"●",IF(AND(ACTIVIDADES!$H22&lt;=L$4,ACTIVIDADES!$I22&gt;=L$4),"·","")))</f>
        <v/>
      </c>
      <c r="N22" s="8" t="str">
        <f>IF(OR(ACTIVIDADES!$I22="",M$4=""),"",IF(ACTIVIDADES!$I22=M$4,"●",IF(AND(ACTIVIDADES!$H22&lt;=M$4,ACTIVIDADES!$I22&gt;=M$4),"·","")))</f>
        <v/>
      </c>
      <c r="O22" s="8" t="str">
        <f>IF(OR(ACTIVIDADES!$I22="",N$4=""),"",IF(ACTIVIDADES!$I22=N$4,"●",IF(AND(ACTIVIDADES!$H22&lt;=N$4,ACTIVIDADES!$I22&gt;=N$4),"·","")))</f>
        <v>●</v>
      </c>
      <c r="P22" s="8" t="str">
        <f>IF(OR(ACTIVIDADES!$I22="",O$4=""),"",IF(ACTIVIDADES!$I22=O$4,"●",IF(AND(ACTIVIDADES!$H22&lt;=O$4,ACTIVIDADES!$I22&gt;=O$4),"·","")))</f>
        <v/>
      </c>
      <c r="Q22" s="8" t="str">
        <f>IF(OR(ACTIVIDADES!$I22="",P$4=""),"",IF(ACTIVIDADES!$I22=P$4,"●",IF(AND(ACTIVIDADES!$H22&lt;=P$4,ACTIVIDADES!$I22&gt;=P$4),"·","")))</f>
        <v/>
      </c>
      <c r="R22" s="8" t="str">
        <f>IF(OR(ACTIVIDADES!$I22="",Q$4=""),"",IF(ACTIVIDADES!$I22=Q$4,"●",IF(AND(ACTIVIDADES!$H22&lt;=Q$4,ACTIVIDADES!$I22&gt;=Q$4),"·","")))</f>
        <v/>
      </c>
      <c r="S22" s="8" t="str">
        <f>IF(OR(ACTIVIDADES!$I22="",R$4=""),"",IF(ACTIVIDADES!$I22=R$4,"●",IF(AND(ACTIVIDADES!$H22&lt;=R$4,ACTIVIDADES!$I22&gt;=R$4),"·","")))</f>
        <v/>
      </c>
      <c r="T22" s="8" t="str">
        <f>IF(OR(ACTIVIDADES!$I22="",S$4=""),"",IF(ACTIVIDADES!$I22=S$4,"●",IF(AND(ACTIVIDADES!$H22&lt;=S$4,ACTIVIDADES!$I22&gt;=S$4),"·","")))</f>
        <v/>
      </c>
      <c r="U22" s="8" t="str">
        <f>IF(OR(ACTIVIDADES!$I22="",T$4=""),"",IF(ACTIVIDADES!$I22=T$4,"●",IF(AND(ACTIVIDADES!$H22&lt;=T$4,ACTIVIDADES!$I22&gt;=T$4),"·","")))</f>
        <v/>
      </c>
      <c r="V22" s="8" t="str">
        <f>IF(OR(ACTIVIDADES!$I22="",U$4=""),"",IF(ACTIVIDADES!$I22=U$4,"●",IF(AND(ACTIVIDADES!$H22&lt;=U$4,ACTIVIDADES!$I22&gt;=U$4),"·","")))</f>
        <v/>
      </c>
      <c r="W22" s="8" t="str">
        <f>IF(OR(ACTIVIDADES!$I22="",V$4=""),"",IF(ACTIVIDADES!$I22=V$4,"●",IF(AND(ACTIVIDADES!$H22&lt;=V$4,ACTIVIDADES!$I22&gt;=V$4),"·","")))</f>
        <v/>
      </c>
      <c r="X22" s="8" t="str">
        <f>IF(OR(ACTIVIDADES!$I22="",W$4=""),"",IF(ACTIVIDADES!$I22=W$4,"●",IF(AND(ACTIVIDADES!$H22&lt;=W$4,ACTIVIDADES!$I22&gt;=W$4),"·","")))</f>
        <v/>
      </c>
      <c r="Y22" s="8" t="str">
        <f>IF(OR(ACTIVIDADES!$I22="",X$4=""),"",IF(ACTIVIDADES!$I22=X$4,"●",IF(AND(ACTIVIDADES!$H22&lt;=X$4,ACTIVIDADES!$I22&gt;=X$4),"·","")))</f>
        <v/>
      </c>
      <c r="Z22" s="8" t="str">
        <f>IF(OR(ACTIVIDADES!$I22="",Y$4=""),"",IF(ACTIVIDADES!$I22=Y$4,"●",IF(AND(ACTIVIDADES!$H22&lt;=Y$4,ACTIVIDADES!$I22&gt;=Y$4),"·","")))</f>
        <v/>
      </c>
      <c r="AA22" s="8" t="str">
        <f>IF(OR(ACTIVIDADES!$I22="",Z$4=""),"",IF(ACTIVIDADES!$I22=Z$4,"●",IF(AND(ACTIVIDADES!$H22&lt;=Z$4,ACTIVIDADES!$I22&gt;=Z$4),"·","")))</f>
        <v/>
      </c>
      <c r="AB22" s="8" t="str">
        <f>IF(OR(ACTIVIDADES!$I22="",AA$4=""),"",IF(ACTIVIDADES!$I22=AA$4,"●",IF(AND(ACTIVIDADES!$H22&lt;=AA$4,ACTIVIDADES!$I22&gt;=AA$4),"·","")))</f>
        <v/>
      </c>
      <c r="AC22" s="8" t="str">
        <f>IF(OR(ACTIVIDADES!$I22="",AB$4=""),"",IF(ACTIVIDADES!$I22=AB$4,"●",IF(AND(ACTIVIDADES!$H22&lt;=AB$4,ACTIVIDADES!$I22&gt;=AB$4),"·","")))</f>
        <v/>
      </c>
      <c r="AD22" s="8" t="str">
        <f>IF(OR(ACTIVIDADES!$I22="",AC$4=""),"",IF(ACTIVIDADES!$I22=AC$4,"●",IF(AND(ACTIVIDADES!$H22&lt;=AC$4,ACTIVIDADES!$I22&gt;=AC$4),"·","")))</f>
        <v/>
      </c>
      <c r="AE22" s="8" t="str">
        <f>IF(OR(ACTIVIDADES!$I22="",AD$4=""),"",IF(ACTIVIDADES!$I22=AD$4,"●",IF(AND(ACTIVIDADES!$H22&lt;=AD$4,ACTIVIDADES!$I22&gt;=AD$4),"·","")))</f>
        <v/>
      </c>
      <c r="AF22" s="8" t="str">
        <f>IF(OR(ACTIVIDADES!$I22="",AE$4=""),"",IF(ACTIVIDADES!$I22=AE$4,"●",IF(AND(ACTIVIDADES!$H22&lt;=AE$4,ACTIVIDADES!$I22&gt;=AE$4),"·","")))</f>
        <v/>
      </c>
      <c r="AG22" s="8" t="str">
        <f>IF(OR(ACTIVIDADES!$I22="",AF$4=""),"",IF(ACTIVIDADES!$I22=AF$4,"●",IF(AND(ACTIVIDADES!$H22&lt;=AF$4,ACTIVIDADES!$I22&gt;=AF$4),"·","")))</f>
        <v/>
      </c>
      <c r="AH22" s="8" t="str">
        <f>IF(OR(ACTIVIDADES!$I22="",AG$4=""),"",IF(ACTIVIDADES!$I22=AG$4,"●",IF(AND(ACTIVIDADES!$H22&lt;=AG$4,ACTIVIDADES!$I22&gt;=AG$4),"·","")))</f>
        <v/>
      </c>
      <c r="AI22" s="8" t="str">
        <f>IF(OR(ACTIVIDADES!$I22="",AH$4=""),"",IF(ACTIVIDADES!$I22=AH$4,"●",IF(AND(ACTIVIDADES!$H22&lt;=AH$4,ACTIVIDADES!$I22&gt;=AH$4),"·","")))</f>
        <v/>
      </c>
      <c r="AJ22" t="str">
        <f>IF(ACTIVIDADES!K22="","",ACTIVIDADES!K22)</f>
        <v>Cerrado</v>
      </c>
    </row>
    <row r="23" spans="1:36">
      <c r="A23" t="str">
        <f>IF(ACTIVIDADES!A23="","",ACTIVIDADES!A23)</f>
        <v>03.05</v>
      </c>
      <c r="B23" t="str">
        <f>IF(ACTIVIDADES!B23="","",ACTIVIDADES!B23)</f>
        <v>HOSP. MERCED</v>
      </c>
      <c r="C23" t="str">
        <f>IF(ACTIVIDADES!C23="","",ACTIVIDADES!C23)</f>
        <v>Corte</v>
      </c>
      <c r="D23" t="str">
        <f>IF(ACTIVIDADES!D23="","",ACTIVIDADES!D23)</f>
        <v>Preparar y entregar corte del día 20</v>
      </c>
      <c r="E23" s="8" t="str">
        <f>IF(OR(ACTIVIDADES!$I23="",D$4=""),"",IF(ACTIVIDADES!$I23=D$4,"●",IF(AND(ACTIVIDADES!$H23&lt;=D$4,ACTIVIDADES!$I23&gt;=D$4),"·","")))</f>
        <v/>
      </c>
      <c r="F23" s="8" t="str">
        <f>IF(OR(ACTIVIDADES!$I23="",E$4=""),"",IF(ACTIVIDADES!$I23=E$4,"●",IF(AND(ACTIVIDADES!$H23&lt;=E$4,ACTIVIDADES!$I23&gt;=E$4),"·","")))</f>
        <v/>
      </c>
      <c r="G23" s="8" t="str">
        <f>IF(OR(ACTIVIDADES!$I23="",F$4=""),"",IF(ACTIVIDADES!$I23=F$4,"●",IF(AND(ACTIVIDADES!$H23&lt;=F$4,ACTIVIDADES!$I23&gt;=F$4),"·","")))</f>
        <v/>
      </c>
      <c r="H23" s="8" t="str">
        <f>IF(OR(ACTIVIDADES!$I23="",G$4=""),"",IF(ACTIVIDADES!$I23=G$4,"●",IF(AND(ACTIVIDADES!$H23&lt;=G$4,ACTIVIDADES!$I23&gt;=G$4),"·","")))</f>
        <v/>
      </c>
      <c r="I23" s="8" t="str">
        <f>IF(OR(ACTIVIDADES!$I23="",H$4=""),"",IF(ACTIVIDADES!$I23=H$4,"●",IF(AND(ACTIVIDADES!$H23&lt;=H$4,ACTIVIDADES!$I23&gt;=H$4),"·","")))</f>
        <v/>
      </c>
      <c r="J23" s="8" t="str">
        <f>IF(OR(ACTIVIDADES!$I23="",I$4=""),"",IF(ACTIVIDADES!$I23=I$4,"●",IF(AND(ACTIVIDADES!$H23&lt;=I$4,ACTIVIDADES!$I23&gt;=I$4),"·","")))</f>
        <v/>
      </c>
      <c r="K23" s="8" t="str">
        <f>IF(OR(ACTIVIDADES!$I23="",J$4=""),"",IF(ACTIVIDADES!$I23=J$4,"●",IF(AND(ACTIVIDADES!$H23&lt;=J$4,ACTIVIDADES!$I23&gt;=J$4),"·","")))</f>
        <v/>
      </c>
      <c r="L23" s="8" t="str">
        <f>IF(OR(ACTIVIDADES!$I23="",K$4=""),"",IF(ACTIVIDADES!$I23=K$4,"●",IF(AND(ACTIVIDADES!$H23&lt;=K$4,ACTIVIDADES!$I23&gt;=K$4),"·","")))</f>
        <v/>
      </c>
      <c r="M23" s="8" t="str">
        <f>IF(OR(ACTIVIDADES!$I23="",L$4=""),"",IF(ACTIVIDADES!$I23=L$4,"●",IF(AND(ACTIVIDADES!$H23&lt;=L$4,ACTIVIDADES!$I23&gt;=L$4),"·","")))</f>
        <v/>
      </c>
      <c r="N23" s="8" t="str">
        <f>IF(OR(ACTIVIDADES!$I23="",M$4=""),"",IF(ACTIVIDADES!$I23=M$4,"●",IF(AND(ACTIVIDADES!$H23&lt;=M$4,ACTIVIDADES!$I23&gt;=M$4),"·","")))</f>
        <v/>
      </c>
      <c r="O23" s="8" t="str">
        <f>IF(OR(ACTIVIDADES!$I23="",N$4=""),"",IF(ACTIVIDADES!$I23=N$4,"●",IF(AND(ACTIVIDADES!$H23&lt;=N$4,ACTIVIDADES!$I23&gt;=N$4),"·","")))</f>
        <v/>
      </c>
      <c r="P23" s="8" t="str">
        <f>IF(OR(ACTIVIDADES!$I23="",O$4=""),"",IF(ACTIVIDADES!$I23=O$4,"●",IF(AND(ACTIVIDADES!$H23&lt;=O$4,ACTIVIDADES!$I23&gt;=O$4),"·","")))</f>
        <v/>
      </c>
      <c r="Q23" s="8" t="str">
        <f>IF(OR(ACTIVIDADES!$I23="",P$4=""),"",IF(ACTIVIDADES!$I23=P$4,"●",IF(AND(ACTIVIDADES!$H23&lt;=P$4,ACTIVIDADES!$I23&gt;=P$4),"·","")))</f>
        <v/>
      </c>
      <c r="R23" s="8" t="str">
        <f>IF(OR(ACTIVIDADES!$I23="",Q$4=""),"",IF(ACTIVIDADES!$I23=Q$4,"●",IF(AND(ACTIVIDADES!$H23&lt;=Q$4,ACTIVIDADES!$I23&gt;=Q$4),"·","")))</f>
        <v/>
      </c>
      <c r="S23" s="8" t="str">
        <f>IF(OR(ACTIVIDADES!$I23="",R$4=""),"",IF(ACTIVIDADES!$I23=R$4,"●",IF(AND(ACTIVIDADES!$H23&lt;=R$4,ACTIVIDADES!$I23&gt;=R$4),"·","")))</f>
        <v/>
      </c>
      <c r="T23" s="8" t="str">
        <f>IF(OR(ACTIVIDADES!$I23="",S$4=""),"",IF(ACTIVIDADES!$I23=S$4,"●",IF(AND(ACTIVIDADES!$H23&lt;=S$4,ACTIVIDADES!$I23&gt;=S$4),"·","")))</f>
        <v/>
      </c>
      <c r="U23" s="8" t="str">
        <f>IF(OR(ACTIVIDADES!$I23="",T$4=""),"",IF(ACTIVIDADES!$I23=T$4,"●",IF(AND(ACTIVIDADES!$H23&lt;=T$4,ACTIVIDADES!$I23&gt;=T$4),"·","")))</f>
        <v/>
      </c>
      <c r="V23" s="8" t="str">
        <f>IF(OR(ACTIVIDADES!$I23="",U$4=""),"",IF(ACTIVIDADES!$I23=U$4,"●",IF(AND(ACTIVIDADES!$H23&lt;=U$4,ACTIVIDADES!$I23&gt;=U$4),"·","")))</f>
        <v/>
      </c>
      <c r="W23" s="8" t="str">
        <f>IF(OR(ACTIVIDADES!$I23="",V$4=""),"",IF(ACTIVIDADES!$I23=V$4,"●",IF(AND(ACTIVIDADES!$H23&lt;=V$4,ACTIVIDADES!$I23&gt;=V$4),"·","")))</f>
        <v/>
      </c>
      <c r="X23" s="8" t="str">
        <f>IF(OR(ACTIVIDADES!$I23="",W$4=""),"",IF(ACTIVIDADES!$I23=W$4,"●",IF(AND(ACTIVIDADES!$H23&lt;=W$4,ACTIVIDADES!$I23&gt;=W$4),"·","")))</f>
        <v/>
      </c>
      <c r="Y23" s="8" t="str">
        <f>IF(OR(ACTIVIDADES!$I23="",X$4=""),"",IF(ACTIVIDADES!$I23=X$4,"●",IF(AND(ACTIVIDADES!$H23&lt;=X$4,ACTIVIDADES!$I23&gt;=X$4),"·","")))</f>
        <v>●</v>
      </c>
      <c r="Z23" s="8" t="str">
        <f>IF(OR(ACTIVIDADES!$I23="",Y$4=""),"",IF(ACTIVIDADES!$I23=Y$4,"●",IF(AND(ACTIVIDADES!$H23&lt;=Y$4,ACTIVIDADES!$I23&gt;=Y$4),"·","")))</f>
        <v/>
      </c>
      <c r="AA23" s="8" t="str">
        <f>IF(OR(ACTIVIDADES!$I23="",Z$4=""),"",IF(ACTIVIDADES!$I23=Z$4,"●",IF(AND(ACTIVIDADES!$H23&lt;=Z$4,ACTIVIDADES!$I23&gt;=Z$4),"·","")))</f>
        <v/>
      </c>
      <c r="AB23" s="8" t="str">
        <f>IF(OR(ACTIVIDADES!$I23="",AA$4=""),"",IF(ACTIVIDADES!$I23=AA$4,"●",IF(AND(ACTIVIDADES!$H23&lt;=AA$4,ACTIVIDADES!$I23&gt;=AA$4),"·","")))</f>
        <v/>
      </c>
      <c r="AC23" s="8" t="str">
        <f>IF(OR(ACTIVIDADES!$I23="",AB$4=""),"",IF(ACTIVIDADES!$I23=AB$4,"●",IF(AND(ACTIVIDADES!$H23&lt;=AB$4,ACTIVIDADES!$I23&gt;=AB$4),"·","")))</f>
        <v/>
      </c>
      <c r="AD23" s="8" t="str">
        <f>IF(OR(ACTIVIDADES!$I23="",AC$4=""),"",IF(ACTIVIDADES!$I23=AC$4,"●",IF(AND(ACTIVIDADES!$H23&lt;=AC$4,ACTIVIDADES!$I23&gt;=AC$4),"·","")))</f>
        <v/>
      </c>
      <c r="AE23" s="8" t="str">
        <f>IF(OR(ACTIVIDADES!$I23="",AD$4=""),"",IF(ACTIVIDADES!$I23=AD$4,"●",IF(AND(ACTIVIDADES!$H23&lt;=AD$4,ACTIVIDADES!$I23&gt;=AD$4),"·","")))</f>
        <v/>
      </c>
      <c r="AF23" s="8" t="str">
        <f>IF(OR(ACTIVIDADES!$I23="",AE$4=""),"",IF(ACTIVIDADES!$I23=AE$4,"●",IF(AND(ACTIVIDADES!$H23&lt;=AE$4,ACTIVIDADES!$I23&gt;=AE$4),"·","")))</f>
        <v/>
      </c>
      <c r="AG23" s="8" t="str">
        <f>IF(OR(ACTIVIDADES!$I23="",AF$4=""),"",IF(ACTIVIDADES!$I23=AF$4,"●",IF(AND(ACTIVIDADES!$H23&lt;=AF$4,ACTIVIDADES!$I23&gt;=AF$4),"·","")))</f>
        <v/>
      </c>
      <c r="AH23" s="8" t="str">
        <f>IF(OR(ACTIVIDADES!$I23="",AG$4=""),"",IF(ACTIVIDADES!$I23=AG$4,"●",IF(AND(ACTIVIDADES!$H23&lt;=AG$4,ACTIVIDADES!$I23&gt;=AG$4),"·","")))</f>
        <v/>
      </c>
      <c r="AI23" s="8" t="str">
        <f>IF(OR(ACTIVIDADES!$I23="",AH$4=""),"",IF(ACTIVIDADES!$I23=AH$4,"●",IF(AND(ACTIVIDADES!$H23&lt;=AH$4,ACTIVIDADES!$I23&gt;=AH$4),"·","")))</f>
        <v/>
      </c>
      <c r="AJ23" t="str">
        <f>IF(ACTIVIDADES!K23="","",ACTIVIDADES!K23)</f>
        <v>Pendiente</v>
      </c>
    </row>
    <row r="24" spans="1:36">
      <c r="A24" t="str">
        <f>IF(ACTIVIDADES!A24="","",ACTIVIDADES!A24)</f>
        <v>03.06</v>
      </c>
      <c r="B24" t="str">
        <f>IF(ACTIVIDADES!B24="","",ACTIVIDADES!B24)</f>
        <v>HOSP. MERCED</v>
      </c>
      <c r="C24" t="str">
        <f>IF(ACTIVIDADES!C24="","",ACTIVIDADES!C24)</f>
        <v>Corte</v>
      </c>
      <c r="D24" t="str">
        <f>IF(ACTIVIDADES!D24="","",ACTIVIDADES!D24)</f>
        <v>Preparar y entregar corte del día 26</v>
      </c>
      <c r="E24" s="8" t="str">
        <f>IF(OR(ACTIVIDADES!$I24="",D$4=""),"",IF(ACTIVIDADES!$I24=D$4,"●",IF(AND(ACTIVIDADES!$H24&lt;=D$4,ACTIVIDADES!$I24&gt;=D$4),"·","")))</f>
        <v/>
      </c>
      <c r="F24" s="8" t="str">
        <f>IF(OR(ACTIVIDADES!$I24="",E$4=""),"",IF(ACTIVIDADES!$I24=E$4,"●",IF(AND(ACTIVIDADES!$H24&lt;=E$4,ACTIVIDADES!$I24&gt;=E$4),"·","")))</f>
        <v/>
      </c>
      <c r="G24" s="8" t="str">
        <f>IF(OR(ACTIVIDADES!$I24="",F$4=""),"",IF(ACTIVIDADES!$I24=F$4,"●",IF(AND(ACTIVIDADES!$H24&lt;=F$4,ACTIVIDADES!$I24&gt;=F$4),"·","")))</f>
        <v/>
      </c>
      <c r="H24" s="8" t="str">
        <f>IF(OR(ACTIVIDADES!$I24="",G$4=""),"",IF(ACTIVIDADES!$I24=G$4,"●",IF(AND(ACTIVIDADES!$H24&lt;=G$4,ACTIVIDADES!$I24&gt;=G$4),"·","")))</f>
        <v/>
      </c>
      <c r="I24" s="8" t="str">
        <f>IF(OR(ACTIVIDADES!$I24="",H$4=""),"",IF(ACTIVIDADES!$I24=H$4,"●",IF(AND(ACTIVIDADES!$H24&lt;=H$4,ACTIVIDADES!$I24&gt;=H$4),"·","")))</f>
        <v/>
      </c>
      <c r="J24" s="8" t="str">
        <f>IF(OR(ACTIVIDADES!$I24="",I$4=""),"",IF(ACTIVIDADES!$I24=I$4,"●",IF(AND(ACTIVIDADES!$H24&lt;=I$4,ACTIVIDADES!$I24&gt;=I$4),"·","")))</f>
        <v/>
      </c>
      <c r="K24" s="8" t="str">
        <f>IF(OR(ACTIVIDADES!$I24="",J$4=""),"",IF(ACTIVIDADES!$I24=J$4,"●",IF(AND(ACTIVIDADES!$H24&lt;=J$4,ACTIVIDADES!$I24&gt;=J$4),"·","")))</f>
        <v/>
      </c>
      <c r="L24" s="8" t="str">
        <f>IF(OR(ACTIVIDADES!$I24="",K$4=""),"",IF(ACTIVIDADES!$I24=K$4,"●",IF(AND(ACTIVIDADES!$H24&lt;=K$4,ACTIVIDADES!$I24&gt;=K$4),"·","")))</f>
        <v/>
      </c>
      <c r="M24" s="8" t="str">
        <f>IF(OR(ACTIVIDADES!$I24="",L$4=""),"",IF(ACTIVIDADES!$I24=L$4,"●",IF(AND(ACTIVIDADES!$H24&lt;=L$4,ACTIVIDADES!$I24&gt;=L$4),"·","")))</f>
        <v/>
      </c>
      <c r="N24" s="8" t="str">
        <f>IF(OR(ACTIVIDADES!$I24="",M$4=""),"",IF(ACTIVIDADES!$I24=M$4,"●",IF(AND(ACTIVIDADES!$H24&lt;=M$4,ACTIVIDADES!$I24&gt;=M$4),"·","")))</f>
        <v/>
      </c>
      <c r="O24" s="8" t="str">
        <f>IF(OR(ACTIVIDADES!$I24="",N$4=""),"",IF(ACTIVIDADES!$I24=N$4,"●",IF(AND(ACTIVIDADES!$H24&lt;=N$4,ACTIVIDADES!$I24&gt;=N$4),"·","")))</f>
        <v/>
      </c>
      <c r="P24" s="8" t="str">
        <f>IF(OR(ACTIVIDADES!$I24="",O$4=""),"",IF(ACTIVIDADES!$I24=O$4,"●",IF(AND(ACTIVIDADES!$H24&lt;=O$4,ACTIVIDADES!$I24&gt;=O$4),"·","")))</f>
        <v/>
      </c>
      <c r="Q24" s="8" t="str">
        <f>IF(OR(ACTIVIDADES!$I24="",P$4=""),"",IF(ACTIVIDADES!$I24=P$4,"●",IF(AND(ACTIVIDADES!$H24&lt;=P$4,ACTIVIDADES!$I24&gt;=P$4),"·","")))</f>
        <v/>
      </c>
      <c r="R24" s="8" t="str">
        <f>IF(OR(ACTIVIDADES!$I24="",Q$4=""),"",IF(ACTIVIDADES!$I24=Q$4,"●",IF(AND(ACTIVIDADES!$H24&lt;=Q$4,ACTIVIDADES!$I24&gt;=Q$4),"·","")))</f>
        <v/>
      </c>
      <c r="S24" s="8" t="str">
        <f>IF(OR(ACTIVIDADES!$I24="",R$4=""),"",IF(ACTIVIDADES!$I24=R$4,"●",IF(AND(ACTIVIDADES!$H24&lt;=R$4,ACTIVIDADES!$I24&gt;=R$4),"·","")))</f>
        <v/>
      </c>
      <c r="T24" s="8" t="str">
        <f>IF(OR(ACTIVIDADES!$I24="",S$4=""),"",IF(ACTIVIDADES!$I24=S$4,"●",IF(AND(ACTIVIDADES!$H24&lt;=S$4,ACTIVIDADES!$I24&gt;=S$4),"·","")))</f>
        <v/>
      </c>
      <c r="U24" s="8" t="str">
        <f>IF(OR(ACTIVIDADES!$I24="",T$4=""),"",IF(ACTIVIDADES!$I24=T$4,"●",IF(AND(ACTIVIDADES!$H24&lt;=T$4,ACTIVIDADES!$I24&gt;=T$4),"·","")))</f>
        <v/>
      </c>
      <c r="V24" s="8" t="str">
        <f>IF(OR(ACTIVIDADES!$I24="",U$4=""),"",IF(ACTIVIDADES!$I24=U$4,"●",IF(AND(ACTIVIDADES!$H24&lt;=U$4,ACTIVIDADES!$I24&gt;=U$4),"·","")))</f>
        <v/>
      </c>
      <c r="W24" s="8" t="str">
        <f>IF(OR(ACTIVIDADES!$I24="",V$4=""),"",IF(ACTIVIDADES!$I24=V$4,"●",IF(AND(ACTIVIDADES!$H24&lt;=V$4,ACTIVIDADES!$I24&gt;=V$4),"·","")))</f>
        <v/>
      </c>
      <c r="X24" s="8" t="str">
        <f>IF(OR(ACTIVIDADES!$I24="",W$4=""),"",IF(ACTIVIDADES!$I24=W$4,"●",IF(AND(ACTIVIDADES!$H24&lt;=W$4,ACTIVIDADES!$I24&gt;=W$4),"·","")))</f>
        <v/>
      </c>
      <c r="Y24" s="8" t="str">
        <f>IF(OR(ACTIVIDADES!$I24="",X$4=""),"",IF(ACTIVIDADES!$I24=X$4,"●",IF(AND(ACTIVIDADES!$H24&lt;=X$4,ACTIVIDADES!$I24&gt;=X$4),"·","")))</f>
        <v/>
      </c>
      <c r="Z24" s="8" t="str">
        <f>IF(OR(ACTIVIDADES!$I24="",Y$4=""),"",IF(ACTIVIDADES!$I24=Y$4,"●",IF(AND(ACTIVIDADES!$H24&lt;=Y$4,ACTIVIDADES!$I24&gt;=Y$4),"·","")))</f>
        <v/>
      </c>
      <c r="AA24" s="8" t="str">
        <f>IF(OR(ACTIVIDADES!$I24="",Z$4=""),"",IF(ACTIVIDADES!$I24=Z$4,"●",IF(AND(ACTIVIDADES!$H24&lt;=Z$4,ACTIVIDADES!$I24&gt;=Z$4),"·","")))</f>
        <v/>
      </c>
      <c r="AB24" s="8" t="str">
        <f>IF(OR(ACTIVIDADES!$I24="",AA$4=""),"",IF(ACTIVIDADES!$I24=AA$4,"●",IF(AND(ACTIVIDADES!$H24&lt;=AA$4,ACTIVIDADES!$I24&gt;=AA$4),"·","")))</f>
        <v/>
      </c>
      <c r="AC24" s="8" t="str">
        <f>IF(OR(ACTIVIDADES!$I24="",AB$4=""),"",IF(ACTIVIDADES!$I24=AB$4,"●",IF(AND(ACTIVIDADES!$H24&lt;=AB$4,ACTIVIDADES!$I24&gt;=AB$4),"·","")))</f>
        <v/>
      </c>
      <c r="AD24" s="8" t="str">
        <f>IF(OR(ACTIVIDADES!$I24="",AC$4=""),"",IF(ACTIVIDADES!$I24=AC$4,"●",IF(AND(ACTIVIDADES!$H24&lt;=AC$4,ACTIVIDADES!$I24&gt;=AC$4),"·","")))</f>
        <v/>
      </c>
      <c r="AE24" s="8" t="str">
        <f>IF(OR(ACTIVIDADES!$I24="",AD$4=""),"",IF(ACTIVIDADES!$I24=AD$4,"●",IF(AND(ACTIVIDADES!$H24&lt;=AD$4,ACTIVIDADES!$I24&gt;=AD$4),"·","")))</f>
        <v>●</v>
      </c>
      <c r="AF24" s="8" t="str">
        <f>IF(OR(ACTIVIDADES!$I24="",AE$4=""),"",IF(ACTIVIDADES!$I24=AE$4,"●",IF(AND(ACTIVIDADES!$H24&lt;=AE$4,ACTIVIDADES!$I24&gt;=AE$4),"·","")))</f>
        <v/>
      </c>
      <c r="AG24" s="8" t="str">
        <f>IF(OR(ACTIVIDADES!$I24="",AF$4=""),"",IF(ACTIVIDADES!$I24=AF$4,"●",IF(AND(ACTIVIDADES!$H24&lt;=AF$4,ACTIVIDADES!$I24&gt;=AF$4),"·","")))</f>
        <v/>
      </c>
      <c r="AH24" s="8" t="str">
        <f>IF(OR(ACTIVIDADES!$I24="",AG$4=""),"",IF(ACTIVIDADES!$I24=AG$4,"●",IF(AND(ACTIVIDADES!$H24&lt;=AG$4,ACTIVIDADES!$I24&gt;=AG$4),"·","")))</f>
        <v/>
      </c>
      <c r="AI24" s="8" t="str">
        <f>IF(OR(ACTIVIDADES!$I24="",AH$4=""),"",IF(ACTIVIDADES!$I24=AH$4,"●",IF(AND(ACTIVIDADES!$H24&lt;=AH$4,ACTIVIDADES!$I24&gt;=AH$4),"·","")))</f>
        <v/>
      </c>
      <c r="AJ24" t="str">
        <f>IF(ACTIVIDADES!K24="","",ACTIVIDADES!K24)</f>
        <v>Pendiente</v>
      </c>
    </row>
    <row r="25" spans="1:36">
      <c r="A25" t="str">
        <f>IF(ACTIVIDADES!A25="","",ACTIVIDADES!A25)</f>
        <v>03.07</v>
      </c>
      <c r="B25" t="str">
        <f>IF(ACTIVIDADES!B25="","",ACTIVIDADES!B25)</f>
        <v>HOSP. MERCED</v>
      </c>
      <c r="C25" t="str">
        <f>IF(ACTIVIDADES!C25="","",ACTIVIDADES!C25)</f>
        <v>Corte</v>
      </c>
      <c r="D25" t="str">
        <f>IF(ACTIVIDADES!D25="","",ACTIVIDADES!D25)</f>
        <v>Preparar y entregar corte del día 30</v>
      </c>
      <c r="E25" s="8" t="str">
        <f>IF(OR(ACTIVIDADES!$I25="",D$4=""),"",IF(ACTIVIDADES!$I25=D$4,"●",IF(AND(ACTIVIDADES!$H25&lt;=D$4,ACTIVIDADES!$I25&gt;=D$4),"·","")))</f>
        <v/>
      </c>
      <c r="F25" s="8" t="str">
        <f>IF(OR(ACTIVIDADES!$I25="",E$4=""),"",IF(ACTIVIDADES!$I25=E$4,"●",IF(AND(ACTIVIDADES!$H25&lt;=E$4,ACTIVIDADES!$I25&gt;=E$4),"·","")))</f>
        <v/>
      </c>
      <c r="G25" s="8" t="str">
        <f>IF(OR(ACTIVIDADES!$I25="",F$4=""),"",IF(ACTIVIDADES!$I25=F$4,"●",IF(AND(ACTIVIDADES!$H25&lt;=F$4,ACTIVIDADES!$I25&gt;=F$4),"·","")))</f>
        <v/>
      </c>
      <c r="H25" s="8" t="str">
        <f>IF(OR(ACTIVIDADES!$I25="",G$4=""),"",IF(ACTIVIDADES!$I25=G$4,"●",IF(AND(ACTIVIDADES!$H25&lt;=G$4,ACTIVIDADES!$I25&gt;=G$4),"·","")))</f>
        <v/>
      </c>
      <c r="I25" s="8" t="str">
        <f>IF(OR(ACTIVIDADES!$I25="",H$4=""),"",IF(ACTIVIDADES!$I25=H$4,"●",IF(AND(ACTIVIDADES!$H25&lt;=H$4,ACTIVIDADES!$I25&gt;=H$4),"·","")))</f>
        <v/>
      </c>
      <c r="J25" s="8" t="str">
        <f>IF(OR(ACTIVIDADES!$I25="",I$4=""),"",IF(ACTIVIDADES!$I25=I$4,"●",IF(AND(ACTIVIDADES!$H25&lt;=I$4,ACTIVIDADES!$I25&gt;=I$4),"·","")))</f>
        <v/>
      </c>
      <c r="K25" s="8" t="str">
        <f>IF(OR(ACTIVIDADES!$I25="",J$4=""),"",IF(ACTIVIDADES!$I25=J$4,"●",IF(AND(ACTIVIDADES!$H25&lt;=J$4,ACTIVIDADES!$I25&gt;=J$4),"·","")))</f>
        <v/>
      </c>
      <c r="L25" s="8" t="str">
        <f>IF(OR(ACTIVIDADES!$I25="",K$4=""),"",IF(ACTIVIDADES!$I25=K$4,"●",IF(AND(ACTIVIDADES!$H25&lt;=K$4,ACTIVIDADES!$I25&gt;=K$4),"·","")))</f>
        <v/>
      </c>
      <c r="M25" s="8" t="str">
        <f>IF(OR(ACTIVIDADES!$I25="",L$4=""),"",IF(ACTIVIDADES!$I25=L$4,"●",IF(AND(ACTIVIDADES!$H25&lt;=L$4,ACTIVIDADES!$I25&gt;=L$4),"·","")))</f>
        <v/>
      </c>
      <c r="N25" s="8" t="str">
        <f>IF(OR(ACTIVIDADES!$I25="",M$4=""),"",IF(ACTIVIDADES!$I25=M$4,"●",IF(AND(ACTIVIDADES!$H25&lt;=M$4,ACTIVIDADES!$I25&gt;=M$4),"·","")))</f>
        <v/>
      </c>
      <c r="O25" s="8" t="str">
        <f>IF(OR(ACTIVIDADES!$I25="",N$4=""),"",IF(ACTIVIDADES!$I25=N$4,"●",IF(AND(ACTIVIDADES!$H25&lt;=N$4,ACTIVIDADES!$I25&gt;=N$4),"·","")))</f>
        <v/>
      </c>
      <c r="P25" s="8" t="str">
        <f>IF(OR(ACTIVIDADES!$I25="",O$4=""),"",IF(ACTIVIDADES!$I25=O$4,"●",IF(AND(ACTIVIDADES!$H25&lt;=O$4,ACTIVIDADES!$I25&gt;=O$4),"·","")))</f>
        <v/>
      </c>
      <c r="Q25" s="8" t="str">
        <f>IF(OR(ACTIVIDADES!$I25="",P$4=""),"",IF(ACTIVIDADES!$I25=P$4,"●",IF(AND(ACTIVIDADES!$H25&lt;=P$4,ACTIVIDADES!$I25&gt;=P$4),"·","")))</f>
        <v/>
      </c>
      <c r="R25" s="8" t="str">
        <f>IF(OR(ACTIVIDADES!$I25="",Q$4=""),"",IF(ACTIVIDADES!$I25=Q$4,"●",IF(AND(ACTIVIDADES!$H25&lt;=Q$4,ACTIVIDADES!$I25&gt;=Q$4),"·","")))</f>
        <v/>
      </c>
      <c r="S25" s="8" t="str">
        <f>IF(OR(ACTIVIDADES!$I25="",R$4=""),"",IF(ACTIVIDADES!$I25=R$4,"●",IF(AND(ACTIVIDADES!$H25&lt;=R$4,ACTIVIDADES!$I25&gt;=R$4),"·","")))</f>
        <v/>
      </c>
      <c r="T25" s="8" t="str">
        <f>IF(OR(ACTIVIDADES!$I25="",S$4=""),"",IF(ACTIVIDADES!$I25=S$4,"●",IF(AND(ACTIVIDADES!$H25&lt;=S$4,ACTIVIDADES!$I25&gt;=S$4),"·","")))</f>
        <v/>
      </c>
      <c r="U25" s="8" t="str">
        <f>IF(OR(ACTIVIDADES!$I25="",T$4=""),"",IF(ACTIVIDADES!$I25=T$4,"●",IF(AND(ACTIVIDADES!$H25&lt;=T$4,ACTIVIDADES!$I25&gt;=T$4),"·","")))</f>
        <v/>
      </c>
      <c r="V25" s="8" t="str">
        <f>IF(OR(ACTIVIDADES!$I25="",U$4=""),"",IF(ACTIVIDADES!$I25=U$4,"●",IF(AND(ACTIVIDADES!$H25&lt;=U$4,ACTIVIDADES!$I25&gt;=U$4),"·","")))</f>
        <v/>
      </c>
      <c r="W25" s="8" t="str">
        <f>IF(OR(ACTIVIDADES!$I25="",V$4=""),"",IF(ACTIVIDADES!$I25=V$4,"●",IF(AND(ACTIVIDADES!$H25&lt;=V$4,ACTIVIDADES!$I25&gt;=V$4),"·","")))</f>
        <v/>
      </c>
      <c r="X25" s="8" t="str">
        <f>IF(OR(ACTIVIDADES!$I25="",W$4=""),"",IF(ACTIVIDADES!$I25=W$4,"●",IF(AND(ACTIVIDADES!$H25&lt;=W$4,ACTIVIDADES!$I25&gt;=W$4),"·","")))</f>
        <v/>
      </c>
      <c r="Y25" s="8" t="str">
        <f>IF(OR(ACTIVIDADES!$I25="",X$4=""),"",IF(ACTIVIDADES!$I25=X$4,"●",IF(AND(ACTIVIDADES!$H25&lt;=X$4,ACTIVIDADES!$I25&gt;=X$4),"·","")))</f>
        <v/>
      </c>
      <c r="Z25" s="8" t="str">
        <f>IF(OR(ACTIVIDADES!$I25="",Y$4=""),"",IF(ACTIVIDADES!$I25=Y$4,"●",IF(AND(ACTIVIDADES!$H25&lt;=Y$4,ACTIVIDADES!$I25&gt;=Y$4),"·","")))</f>
        <v/>
      </c>
      <c r="AA25" s="8" t="str">
        <f>IF(OR(ACTIVIDADES!$I25="",Z$4=""),"",IF(ACTIVIDADES!$I25=Z$4,"●",IF(AND(ACTIVIDADES!$H25&lt;=Z$4,ACTIVIDADES!$I25&gt;=Z$4),"·","")))</f>
        <v/>
      </c>
      <c r="AB25" s="8" t="str">
        <f>IF(OR(ACTIVIDADES!$I25="",AA$4=""),"",IF(ACTIVIDADES!$I25=AA$4,"●",IF(AND(ACTIVIDADES!$H25&lt;=AA$4,ACTIVIDADES!$I25&gt;=AA$4),"·","")))</f>
        <v/>
      </c>
      <c r="AC25" s="8" t="str">
        <f>IF(OR(ACTIVIDADES!$I25="",AB$4=""),"",IF(ACTIVIDADES!$I25=AB$4,"●",IF(AND(ACTIVIDADES!$H25&lt;=AB$4,ACTIVIDADES!$I25&gt;=AB$4),"·","")))</f>
        <v/>
      </c>
      <c r="AD25" s="8" t="str">
        <f>IF(OR(ACTIVIDADES!$I25="",AC$4=""),"",IF(ACTIVIDADES!$I25=AC$4,"●",IF(AND(ACTIVIDADES!$H25&lt;=AC$4,ACTIVIDADES!$I25&gt;=AC$4),"·","")))</f>
        <v/>
      </c>
      <c r="AE25" s="8" t="str">
        <f>IF(OR(ACTIVIDADES!$I25="",AD$4=""),"",IF(ACTIVIDADES!$I25=AD$4,"●",IF(AND(ACTIVIDADES!$H25&lt;=AD$4,ACTIVIDADES!$I25&gt;=AD$4),"·","")))</f>
        <v/>
      </c>
      <c r="AF25" s="8" t="str">
        <f>IF(OR(ACTIVIDADES!$I25="",AE$4=""),"",IF(ACTIVIDADES!$I25=AE$4,"●",IF(AND(ACTIVIDADES!$H25&lt;=AE$4,ACTIVIDADES!$I25&gt;=AE$4),"·","")))</f>
        <v/>
      </c>
      <c r="AG25" s="8" t="str">
        <f>IF(OR(ACTIVIDADES!$I25="",AF$4=""),"",IF(ACTIVIDADES!$I25=AF$4,"●",IF(AND(ACTIVIDADES!$H25&lt;=AF$4,ACTIVIDADES!$I25&gt;=AF$4),"·","")))</f>
        <v/>
      </c>
      <c r="AH25" s="8" t="str">
        <f>IF(OR(ACTIVIDADES!$I25="",AG$4=""),"",IF(ACTIVIDADES!$I25=AG$4,"●",IF(AND(ACTIVIDADES!$H25&lt;=AG$4,ACTIVIDADES!$I25&gt;=AG$4),"·","")))</f>
        <v/>
      </c>
      <c r="AI25" s="8" t="str">
        <f>IF(OR(ACTIVIDADES!$I25="",AH$4=""),"",IF(ACTIVIDADES!$I25=AH$4,"●",IF(AND(ACTIVIDADES!$H25&lt;=AH$4,ACTIVIDADES!$I25&gt;=AH$4),"·","")))</f>
        <v>●</v>
      </c>
      <c r="AJ25" t="str">
        <f>IF(ACTIVIDADES!K25="","",ACTIVIDADES!K25)</f>
        <v>Pendiente</v>
      </c>
    </row>
    <row r="26" spans="1:36">
      <c r="A26" t="str">
        <f>IF(ACTIVIDADES!A26="","",ACTIVIDADES!A26)</f>
        <v>04.01</v>
      </c>
      <c r="B26" t="str">
        <f>IF(ACTIVIDADES!B26="","",ACTIVIDADES!B26)</f>
        <v>SECAP</v>
      </c>
      <c r="C26" t="str">
        <f>IF(ACTIVIDADES!C26="","",ACTIVIDADES!C26)</f>
        <v>Informe</v>
      </c>
      <c r="D26" t="str">
        <f>IF(ACTIVIDADES!D26="","",ACTIVIDADES!D26)</f>
        <v>Solicitar y entregar informe mensual</v>
      </c>
      <c r="E26" s="8" t="str">
        <f>IF(OR(ACTIVIDADES!$I26="",D$4=""),"",IF(ACTIVIDADES!$I26=D$4,"●",IF(AND(ACTIVIDADES!$H26&lt;=D$4,ACTIVIDADES!$I26&gt;=D$4),"·","")))</f>
        <v/>
      </c>
      <c r="F26" s="8" t="str">
        <f>IF(OR(ACTIVIDADES!$I26="",E$4=""),"",IF(ACTIVIDADES!$I26=E$4,"●",IF(AND(ACTIVIDADES!$H26&lt;=E$4,ACTIVIDADES!$I26&gt;=E$4),"·","")))</f>
        <v/>
      </c>
      <c r="G26" s="8" t="str">
        <f>IF(OR(ACTIVIDADES!$I26="",F$4=""),"",IF(ACTIVIDADES!$I26=F$4,"●",IF(AND(ACTIVIDADES!$H26&lt;=F$4,ACTIVIDADES!$I26&gt;=F$4),"·","")))</f>
        <v/>
      </c>
      <c r="H26" s="8" t="str">
        <f>IF(OR(ACTIVIDADES!$I26="",G$4=""),"",IF(ACTIVIDADES!$I26=G$4,"●",IF(AND(ACTIVIDADES!$H26&lt;=G$4,ACTIVIDADES!$I26&gt;=G$4),"·","")))</f>
        <v>●</v>
      </c>
      <c r="I26" s="8" t="str">
        <f>IF(OR(ACTIVIDADES!$I26="",H$4=""),"",IF(ACTIVIDADES!$I26=H$4,"●",IF(AND(ACTIVIDADES!$H26&lt;=H$4,ACTIVIDADES!$I26&gt;=H$4),"·","")))</f>
        <v/>
      </c>
      <c r="J26" s="8" t="str">
        <f>IF(OR(ACTIVIDADES!$I26="",I$4=""),"",IF(ACTIVIDADES!$I26=I$4,"●",IF(AND(ACTIVIDADES!$H26&lt;=I$4,ACTIVIDADES!$I26&gt;=I$4),"·","")))</f>
        <v/>
      </c>
      <c r="K26" s="8" t="str">
        <f>IF(OR(ACTIVIDADES!$I26="",J$4=""),"",IF(ACTIVIDADES!$I26=J$4,"●",IF(AND(ACTIVIDADES!$H26&lt;=J$4,ACTIVIDADES!$I26&gt;=J$4),"·","")))</f>
        <v/>
      </c>
      <c r="L26" s="8" t="str">
        <f>IF(OR(ACTIVIDADES!$I26="",K$4=""),"",IF(ACTIVIDADES!$I26=K$4,"●",IF(AND(ACTIVIDADES!$H26&lt;=K$4,ACTIVIDADES!$I26&gt;=K$4),"·","")))</f>
        <v/>
      </c>
      <c r="M26" s="8" t="str">
        <f>IF(OR(ACTIVIDADES!$I26="",L$4=""),"",IF(ACTIVIDADES!$I26=L$4,"●",IF(AND(ACTIVIDADES!$H26&lt;=L$4,ACTIVIDADES!$I26&gt;=L$4),"·","")))</f>
        <v/>
      </c>
      <c r="N26" s="8" t="str">
        <f>IF(OR(ACTIVIDADES!$I26="",M$4=""),"",IF(ACTIVIDADES!$I26=M$4,"●",IF(AND(ACTIVIDADES!$H26&lt;=M$4,ACTIVIDADES!$I26&gt;=M$4),"·","")))</f>
        <v/>
      </c>
      <c r="O26" s="8" t="str">
        <f>IF(OR(ACTIVIDADES!$I26="",N$4=""),"",IF(ACTIVIDADES!$I26=N$4,"●",IF(AND(ACTIVIDADES!$H26&lt;=N$4,ACTIVIDADES!$I26&gt;=N$4),"·","")))</f>
        <v/>
      </c>
      <c r="P26" s="8" t="str">
        <f>IF(OR(ACTIVIDADES!$I26="",O$4=""),"",IF(ACTIVIDADES!$I26=O$4,"●",IF(AND(ACTIVIDADES!$H26&lt;=O$4,ACTIVIDADES!$I26&gt;=O$4),"·","")))</f>
        <v/>
      </c>
      <c r="Q26" s="8" t="str">
        <f>IF(OR(ACTIVIDADES!$I26="",P$4=""),"",IF(ACTIVIDADES!$I26=P$4,"●",IF(AND(ACTIVIDADES!$H26&lt;=P$4,ACTIVIDADES!$I26&gt;=P$4),"·","")))</f>
        <v/>
      </c>
      <c r="R26" s="8" t="str">
        <f>IF(OR(ACTIVIDADES!$I26="",Q$4=""),"",IF(ACTIVIDADES!$I26=Q$4,"●",IF(AND(ACTIVIDADES!$H26&lt;=Q$4,ACTIVIDADES!$I26&gt;=Q$4),"·","")))</f>
        <v/>
      </c>
      <c r="S26" s="8" t="str">
        <f>IF(OR(ACTIVIDADES!$I26="",R$4=""),"",IF(ACTIVIDADES!$I26=R$4,"●",IF(AND(ACTIVIDADES!$H26&lt;=R$4,ACTIVIDADES!$I26&gt;=R$4),"·","")))</f>
        <v/>
      </c>
      <c r="T26" s="8" t="str">
        <f>IF(OR(ACTIVIDADES!$I26="",S$4=""),"",IF(ACTIVIDADES!$I26=S$4,"●",IF(AND(ACTIVIDADES!$H26&lt;=S$4,ACTIVIDADES!$I26&gt;=S$4),"·","")))</f>
        <v/>
      </c>
      <c r="U26" s="8" t="str">
        <f>IF(OR(ACTIVIDADES!$I26="",T$4=""),"",IF(ACTIVIDADES!$I26=T$4,"●",IF(AND(ACTIVIDADES!$H26&lt;=T$4,ACTIVIDADES!$I26&gt;=T$4),"·","")))</f>
        <v/>
      </c>
      <c r="V26" s="8" t="str">
        <f>IF(OR(ACTIVIDADES!$I26="",U$4=""),"",IF(ACTIVIDADES!$I26=U$4,"●",IF(AND(ACTIVIDADES!$H26&lt;=U$4,ACTIVIDADES!$I26&gt;=U$4),"·","")))</f>
        <v/>
      </c>
      <c r="W26" s="8" t="str">
        <f>IF(OR(ACTIVIDADES!$I26="",V$4=""),"",IF(ACTIVIDADES!$I26=V$4,"●",IF(AND(ACTIVIDADES!$H26&lt;=V$4,ACTIVIDADES!$I26&gt;=V$4),"·","")))</f>
        <v/>
      </c>
      <c r="X26" s="8" t="str">
        <f>IF(OR(ACTIVIDADES!$I26="",W$4=""),"",IF(ACTIVIDADES!$I26=W$4,"●",IF(AND(ACTIVIDADES!$H26&lt;=W$4,ACTIVIDADES!$I26&gt;=W$4),"·","")))</f>
        <v/>
      </c>
      <c r="Y26" s="8" t="str">
        <f>IF(OR(ACTIVIDADES!$I26="",X$4=""),"",IF(ACTIVIDADES!$I26=X$4,"●",IF(AND(ACTIVIDADES!$H26&lt;=X$4,ACTIVIDADES!$I26&gt;=X$4),"·","")))</f>
        <v/>
      </c>
      <c r="Z26" s="8" t="str">
        <f>IF(OR(ACTIVIDADES!$I26="",Y$4=""),"",IF(ACTIVIDADES!$I26=Y$4,"●",IF(AND(ACTIVIDADES!$H26&lt;=Y$4,ACTIVIDADES!$I26&gt;=Y$4),"·","")))</f>
        <v/>
      </c>
      <c r="AA26" s="8" t="str">
        <f>IF(OR(ACTIVIDADES!$I26="",Z$4=""),"",IF(ACTIVIDADES!$I26=Z$4,"●",IF(AND(ACTIVIDADES!$H26&lt;=Z$4,ACTIVIDADES!$I26&gt;=Z$4),"·","")))</f>
        <v/>
      </c>
      <c r="AB26" s="8" t="str">
        <f>IF(OR(ACTIVIDADES!$I26="",AA$4=""),"",IF(ACTIVIDADES!$I26=AA$4,"●",IF(AND(ACTIVIDADES!$H26&lt;=AA$4,ACTIVIDADES!$I26&gt;=AA$4),"·","")))</f>
        <v/>
      </c>
      <c r="AC26" s="8" t="str">
        <f>IF(OR(ACTIVIDADES!$I26="",AB$4=""),"",IF(ACTIVIDADES!$I26=AB$4,"●",IF(AND(ACTIVIDADES!$H26&lt;=AB$4,ACTIVIDADES!$I26&gt;=AB$4),"·","")))</f>
        <v/>
      </c>
      <c r="AD26" s="8" t="str">
        <f>IF(OR(ACTIVIDADES!$I26="",AC$4=""),"",IF(ACTIVIDADES!$I26=AC$4,"●",IF(AND(ACTIVIDADES!$H26&lt;=AC$4,ACTIVIDADES!$I26&gt;=AC$4),"·","")))</f>
        <v/>
      </c>
      <c r="AE26" s="8" t="str">
        <f>IF(OR(ACTIVIDADES!$I26="",AD$4=""),"",IF(ACTIVIDADES!$I26=AD$4,"●",IF(AND(ACTIVIDADES!$H26&lt;=AD$4,ACTIVIDADES!$I26&gt;=AD$4),"·","")))</f>
        <v/>
      </c>
      <c r="AF26" s="8" t="str">
        <f>IF(OR(ACTIVIDADES!$I26="",AE$4=""),"",IF(ACTIVIDADES!$I26=AE$4,"●",IF(AND(ACTIVIDADES!$H26&lt;=AE$4,ACTIVIDADES!$I26&gt;=AE$4),"·","")))</f>
        <v/>
      </c>
      <c r="AG26" s="8" t="str">
        <f>IF(OR(ACTIVIDADES!$I26="",AF$4=""),"",IF(ACTIVIDADES!$I26=AF$4,"●",IF(AND(ACTIVIDADES!$H26&lt;=AF$4,ACTIVIDADES!$I26&gt;=AF$4),"·","")))</f>
        <v/>
      </c>
      <c r="AH26" s="8" t="str">
        <f>IF(OR(ACTIVIDADES!$I26="",AG$4=""),"",IF(ACTIVIDADES!$I26=AG$4,"●",IF(AND(ACTIVIDADES!$H26&lt;=AG$4,ACTIVIDADES!$I26&gt;=AG$4),"·","")))</f>
        <v/>
      </c>
      <c r="AI26" s="8" t="str">
        <f>IF(OR(ACTIVIDADES!$I26="",AH$4=""),"",IF(ACTIVIDADES!$I26=AH$4,"●",IF(AND(ACTIVIDADES!$H26&lt;=AH$4,ACTIVIDADES!$I26&gt;=AH$4),"·","")))</f>
        <v/>
      </c>
      <c r="AJ26" t="str">
        <f>IF(ACTIVIDADES!K26="","",ACTIVIDADES!K26)</f>
        <v>Cerrado</v>
      </c>
    </row>
    <row r="27" spans="1:36">
      <c r="A27" t="str">
        <f>IF(ACTIVIDADES!A27="","",ACTIVIDADES!A27)</f>
        <v>04.02</v>
      </c>
      <c r="B27" t="str">
        <f>IF(ACTIVIDADES!B27="","",ACTIVIDADES!B27)</f>
        <v>SECAP</v>
      </c>
      <c r="C27" t="str">
        <f>IF(ACTIVIDADES!C27="","",ACTIVIDADES!C27)</f>
        <v>Abastecimiento</v>
      </c>
      <c r="D27" t="str">
        <f>IF(ACTIVIDADES!D27="","",ACTIVIDADES!D27)</f>
        <v>Solicitar requerimientos de insumos</v>
      </c>
      <c r="E27" s="8" t="str">
        <f>IF(OR(ACTIVIDADES!$I27="",D$4=""),"",IF(ACTIVIDADES!$I27=D$4,"●",IF(AND(ACTIVIDADES!$H27&lt;=D$4,ACTIVIDADES!$I27&gt;=D$4),"·","")))</f>
        <v/>
      </c>
      <c r="F27" s="8" t="str">
        <f>IF(OR(ACTIVIDADES!$I27="",E$4=""),"",IF(ACTIVIDADES!$I27=E$4,"●",IF(AND(ACTIVIDADES!$H27&lt;=E$4,ACTIVIDADES!$I27&gt;=E$4),"·","")))</f>
        <v/>
      </c>
      <c r="G27" s="8" t="str">
        <f>IF(OR(ACTIVIDADES!$I27="",F$4=""),"",IF(ACTIVIDADES!$I27=F$4,"●",IF(AND(ACTIVIDADES!$H27&lt;=F$4,ACTIVIDADES!$I27&gt;=F$4),"·","")))</f>
        <v/>
      </c>
      <c r="H27" s="8" t="str">
        <f>IF(OR(ACTIVIDADES!$I27="",G$4=""),"",IF(ACTIVIDADES!$I27=G$4,"●",IF(AND(ACTIVIDADES!$H27&lt;=G$4,ACTIVIDADES!$I27&gt;=G$4),"·","")))</f>
        <v/>
      </c>
      <c r="I27" s="8" t="str">
        <f>IF(OR(ACTIVIDADES!$I27="",H$4=""),"",IF(ACTIVIDADES!$I27=H$4,"●",IF(AND(ACTIVIDADES!$H27&lt;=H$4,ACTIVIDADES!$I27&gt;=H$4),"·","")))</f>
        <v/>
      </c>
      <c r="J27" s="8" t="str">
        <f>IF(OR(ACTIVIDADES!$I27="",I$4=""),"",IF(ACTIVIDADES!$I27=I$4,"●",IF(AND(ACTIVIDADES!$H27&lt;=I$4,ACTIVIDADES!$I27&gt;=I$4),"·","")))</f>
        <v/>
      </c>
      <c r="K27" s="8" t="str">
        <f>IF(OR(ACTIVIDADES!$I27="",J$4=""),"",IF(ACTIVIDADES!$I27=J$4,"●",IF(AND(ACTIVIDADES!$H27&lt;=J$4,ACTIVIDADES!$I27&gt;=J$4),"·","")))</f>
        <v/>
      </c>
      <c r="L27" s="8" t="str">
        <f>IF(OR(ACTIVIDADES!$I27="",K$4=""),"",IF(ACTIVIDADES!$I27=K$4,"●",IF(AND(ACTIVIDADES!$H27&lt;=K$4,ACTIVIDADES!$I27&gt;=K$4),"·","")))</f>
        <v/>
      </c>
      <c r="M27" s="8" t="str">
        <f>IF(OR(ACTIVIDADES!$I27="",L$4=""),"",IF(ACTIVIDADES!$I27=L$4,"●",IF(AND(ACTIVIDADES!$H27&lt;=L$4,ACTIVIDADES!$I27&gt;=L$4),"·","")))</f>
        <v/>
      </c>
      <c r="N27" s="8" t="str">
        <f>IF(OR(ACTIVIDADES!$I27="",M$4=""),"",IF(ACTIVIDADES!$I27=M$4,"●",IF(AND(ACTIVIDADES!$H27&lt;=M$4,ACTIVIDADES!$I27&gt;=M$4),"·","")))</f>
        <v/>
      </c>
      <c r="O27" s="8" t="str">
        <f>IF(OR(ACTIVIDADES!$I27="",N$4=""),"",IF(ACTIVIDADES!$I27=N$4,"●",IF(AND(ACTIVIDADES!$H27&lt;=N$4,ACTIVIDADES!$I27&gt;=N$4),"·","")))</f>
        <v/>
      </c>
      <c r="P27" s="8" t="str">
        <f>IF(OR(ACTIVIDADES!$I27="",O$4=""),"",IF(ACTIVIDADES!$I27=O$4,"●",IF(AND(ACTIVIDADES!$H27&lt;=O$4,ACTIVIDADES!$I27&gt;=O$4),"·","")))</f>
        <v/>
      </c>
      <c r="Q27" s="8" t="str">
        <f>IF(OR(ACTIVIDADES!$I27="",P$4=""),"",IF(ACTIVIDADES!$I27=P$4,"●",IF(AND(ACTIVIDADES!$H27&lt;=P$4,ACTIVIDADES!$I27&gt;=P$4),"·","")))</f>
        <v/>
      </c>
      <c r="R27" s="8" t="str">
        <f>IF(OR(ACTIVIDADES!$I27="",Q$4=""),"",IF(ACTIVIDADES!$I27=Q$4,"●",IF(AND(ACTIVIDADES!$H27&lt;=Q$4,ACTIVIDADES!$I27&gt;=Q$4),"·","")))</f>
        <v/>
      </c>
      <c r="S27" s="8" t="str">
        <f>IF(OR(ACTIVIDADES!$I27="",R$4=""),"",IF(ACTIVIDADES!$I27=R$4,"●",IF(AND(ACTIVIDADES!$H27&lt;=R$4,ACTIVIDADES!$I27&gt;=R$4),"·","")))</f>
        <v/>
      </c>
      <c r="T27" s="8" t="str">
        <f>IF(OR(ACTIVIDADES!$I27="",S$4=""),"",IF(ACTIVIDADES!$I27=S$4,"●",IF(AND(ACTIVIDADES!$H27&lt;=S$4,ACTIVIDADES!$I27&gt;=S$4),"·","")))</f>
        <v>·</v>
      </c>
      <c r="U27" s="8" t="str">
        <f>IF(OR(ACTIVIDADES!$I27="",T$4=""),"",IF(ACTIVIDADES!$I27=T$4,"●",IF(AND(ACTIVIDADES!$H27&lt;=T$4,ACTIVIDADES!$I27&gt;=T$4),"·","")))</f>
        <v>·</v>
      </c>
      <c r="V27" s="8" t="str">
        <f>IF(OR(ACTIVIDADES!$I27="",U$4=""),"",IF(ACTIVIDADES!$I27=U$4,"●",IF(AND(ACTIVIDADES!$H27&lt;=U$4,ACTIVIDADES!$I27&gt;=U$4),"·","")))</f>
        <v>·</v>
      </c>
      <c r="W27" s="8" t="str">
        <f>IF(OR(ACTIVIDADES!$I27="",V$4=""),"",IF(ACTIVIDADES!$I27=V$4,"●",IF(AND(ACTIVIDADES!$H27&lt;=V$4,ACTIVIDADES!$I27&gt;=V$4),"·","")))</f>
        <v>·</v>
      </c>
      <c r="X27" s="8" t="str">
        <f>IF(OR(ACTIVIDADES!$I27="",W$4=""),"",IF(ACTIVIDADES!$I27=W$4,"●",IF(AND(ACTIVIDADES!$H27&lt;=W$4,ACTIVIDADES!$I27&gt;=W$4),"·","")))</f>
        <v>·</v>
      </c>
      <c r="Y27" s="8" t="str">
        <f>IF(OR(ACTIVIDADES!$I27="",X$4=""),"",IF(ACTIVIDADES!$I27=X$4,"●",IF(AND(ACTIVIDADES!$H27&lt;=X$4,ACTIVIDADES!$I27&gt;=X$4),"·","")))</f>
        <v>●</v>
      </c>
      <c r="Z27" s="8" t="str">
        <f>IF(OR(ACTIVIDADES!$I27="",Y$4=""),"",IF(ACTIVIDADES!$I27=Y$4,"●",IF(AND(ACTIVIDADES!$H27&lt;=Y$4,ACTIVIDADES!$I27&gt;=Y$4),"·","")))</f>
        <v/>
      </c>
      <c r="AA27" s="8" t="str">
        <f>IF(OR(ACTIVIDADES!$I27="",Z$4=""),"",IF(ACTIVIDADES!$I27=Z$4,"●",IF(AND(ACTIVIDADES!$H27&lt;=Z$4,ACTIVIDADES!$I27&gt;=Z$4),"·","")))</f>
        <v/>
      </c>
      <c r="AB27" s="8" t="str">
        <f>IF(OR(ACTIVIDADES!$I27="",AA$4=""),"",IF(ACTIVIDADES!$I27=AA$4,"●",IF(AND(ACTIVIDADES!$H27&lt;=AA$4,ACTIVIDADES!$I27&gt;=AA$4),"·","")))</f>
        <v/>
      </c>
      <c r="AC27" s="8" t="str">
        <f>IF(OR(ACTIVIDADES!$I27="",AB$4=""),"",IF(ACTIVIDADES!$I27=AB$4,"●",IF(AND(ACTIVIDADES!$H27&lt;=AB$4,ACTIVIDADES!$I27&gt;=AB$4),"·","")))</f>
        <v/>
      </c>
      <c r="AD27" s="8" t="str">
        <f>IF(OR(ACTIVIDADES!$I27="",AC$4=""),"",IF(ACTIVIDADES!$I27=AC$4,"●",IF(AND(ACTIVIDADES!$H27&lt;=AC$4,ACTIVIDADES!$I27&gt;=AC$4),"·","")))</f>
        <v/>
      </c>
      <c r="AE27" s="8" t="str">
        <f>IF(OR(ACTIVIDADES!$I27="",AD$4=""),"",IF(ACTIVIDADES!$I27=AD$4,"●",IF(AND(ACTIVIDADES!$H27&lt;=AD$4,ACTIVIDADES!$I27&gt;=AD$4),"·","")))</f>
        <v/>
      </c>
      <c r="AF27" s="8" t="str">
        <f>IF(OR(ACTIVIDADES!$I27="",AE$4=""),"",IF(ACTIVIDADES!$I27=AE$4,"●",IF(AND(ACTIVIDADES!$H27&lt;=AE$4,ACTIVIDADES!$I27&gt;=AE$4),"·","")))</f>
        <v/>
      </c>
      <c r="AG27" s="8" t="str">
        <f>IF(OR(ACTIVIDADES!$I27="",AF$4=""),"",IF(ACTIVIDADES!$I27=AF$4,"●",IF(AND(ACTIVIDADES!$H27&lt;=AF$4,ACTIVIDADES!$I27&gt;=AF$4),"·","")))</f>
        <v/>
      </c>
      <c r="AH27" s="8" t="str">
        <f>IF(OR(ACTIVIDADES!$I27="",AG$4=""),"",IF(ACTIVIDADES!$I27=AG$4,"●",IF(AND(ACTIVIDADES!$H27&lt;=AG$4,ACTIVIDADES!$I27&gt;=AG$4),"·","")))</f>
        <v/>
      </c>
      <c r="AI27" s="8" t="str">
        <f>IF(OR(ACTIVIDADES!$I27="",AH$4=""),"",IF(ACTIVIDADES!$I27=AH$4,"●",IF(AND(ACTIVIDADES!$H27&lt;=AH$4,ACTIVIDADES!$I27&gt;=AH$4),"·","")))</f>
        <v/>
      </c>
      <c r="AJ27" t="str">
        <f>IF(ACTIVIDADES!K27="","",ACTIVIDADES!K27)</f>
        <v>Pendiente</v>
      </c>
    </row>
    <row r="28" spans="1:36">
      <c r="A28" t="str">
        <f>IF(ACTIVIDADES!A28="","",ACTIVIDADES!A28)</f>
        <v>04.03</v>
      </c>
      <c r="B28" t="str">
        <f>IF(ACTIVIDADES!B28="","",ACTIVIDADES!B28)</f>
        <v>SECAP</v>
      </c>
      <c r="C28" t="str">
        <f>IF(ACTIVIDADES!C28="","",ACTIVIDADES!C28)</f>
        <v>Corte</v>
      </c>
      <c r="D28" t="str">
        <f>IF(ACTIVIDADES!D28="","",ACTIVIDADES!D28)</f>
        <v>Preparar y entregar corte del día 5</v>
      </c>
      <c r="E28" s="8" t="str">
        <f>IF(OR(ACTIVIDADES!$I28="",D$4=""),"",IF(ACTIVIDADES!$I28=D$4,"●",IF(AND(ACTIVIDADES!$H28&lt;=D$4,ACTIVIDADES!$I28&gt;=D$4),"·","")))</f>
        <v/>
      </c>
      <c r="F28" s="8" t="str">
        <f>IF(OR(ACTIVIDADES!$I28="",E$4=""),"",IF(ACTIVIDADES!$I28=E$4,"●",IF(AND(ACTIVIDADES!$H28&lt;=E$4,ACTIVIDADES!$I28&gt;=E$4),"·","")))</f>
        <v/>
      </c>
      <c r="G28" s="8" t="str">
        <f>IF(OR(ACTIVIDADES!$I28="",F$4=""),"",IF(ACTIVIDADES!$I28=F$4,"●",IF(AND(ACTIVIDADES!$H28&lt;=F$4,ACTIVIDADES!$I28&gt;=F$4),"·","")))</f>
        <v/>
      </c>
      <c r="H28" s="8" t="str">
        <f>IF(OR(ACTIVIDADES!$I28="",G$4=""),"",IF(ACTIVIDADES!$I28=G$4,"●",IF(AND(ACTIVIDADES!$H28&lt;=G$4,ACTIVIDADES!$I28&gt;=G$4),"·","")))</f>
        <v/>
      </c>
      <c r="I28" s="8" t="str">
        <f>IF(OR(ACTIVIDADES!$I28="",H$4=""),"",IF(ACTIVIDADES!$I28=H$4,"●",IF(AND(ACTIVIDADES!$H28&lt;=H$4,ACTIVIDADES!$I28&gt;=H$4),"·","")))</f>
        <v/>
      </c>
      <c r="J28" s="8" t="str">
        <f>IF(OR(ACTIVIDADES!$I28="",I$4=""),"",IF(ACTIVIDADES!$I28=I$4,"●",IF(AND(ACTIVIDADES!$H28&lt;=I$4,ACTIVIDADES!$I28&gt;=I$4),"·","")))</f>
        <v>●</v>
      </c>
      <c r="K28" s="8" t="str">
        <f>IF(OR(ACTIVIDADES!$I28="",J$4=""),"",IF(ACTIVIDADES!$I28=J$4,"●",IF(AND(ACTIVIDADES!$H28&lt;=J$4,ACTIVIDADES!$I28&gt;=J$4),"·","")))</f>
        <v/>
      </c>
      <c r="L28" s="8" t="str">
        <f>IF(OR(ACTIVIDADES!$I28="",K$4=""),"",IF(ACTIVIDADES!$I28=K$4,"●",IF(AND(ACTIVIDADES!$H28&lt;=K$4,ACTIVIDADES!$I28&gt;=K$4),"·","")))</f>
        <v/>
      </c>
      <c r="M28" s="8" t="str">
        <f>IF(OR(ACTIVIDADES!$I28="",L$4=""),"",IF(ACTIVIDADES!$I28=L$4,"●",IF(AND(ACTIVIDADES!$H28&lt;=L$4,ACTIVIDADES!$I28&gt;=L$4),"·","")))</f>
        <v/>
      </c>
      <c r="N28" s="8" t="str">
        <f>IF(OR(ACTIVIDADES!$I28="",M$4=""),"",IF(ACTIVIDADES!$I28=M$4,"●",IF(AND(ACTIVIDADES!$H28&lt;=M$4,ACTIVIDADES!$I28&gt;=M$4),"·","")))</f>
        <v/>
      </c>
      <c r="O28" s="8" t="str">
        <f>IF(OR(ACTIVIDADES!$I28="",N$4=""),"",IF(ACTIVIDADES!$I28=N$4,"●",IF(AND(ACTIVIDADES!$H28&lt;=N$4,ACTIVIDADES!$I28&gt;=N$4),"·","")))</f>
        <v/>
      </c>
      <c r="P28" s="8" t="str">
        <f>IF(OR(ACTIVIDADES!$I28="",O$4=""),"",IF(ACTIVIDADES!$I28=O$4,"●",IF(AND(ACTIVIDADES!$H28&lt;=O$4,ACTIVIDADES!$I28&gt;=O$4),"·","")))</f>
        <v/>
      </c>
      <c r="Q28" s="8" t="str">
        <f>IF(OR(ACTIVIDADES!$I28="",P$4=""),"",IF(ACTIVIDADES!$I28=P$4,"●",IF(AND(ACTIVIDADES!$H28&lt;=P$4,ACTIVIDADES!$I28&gt;=P$4),"·","")))</f>
        <v/>
      </c>
      <c r="R28" s="8" t="str">
        <f>IF(OR(ACTIVIDADES!$I28="",Q$4=""),"",IF(ACTIVIDADES!$I28=Q$4,"●",IF(AND(ACTIVIDADES!$H28&lt;=Q$4,ACTIVIDADES!$I28&gt;=Q$4),"·","")))</f>
        <v/>
      </c>
      <c r="S28" s="8" t="str">
        <f>IF(OR(ACTIVIDADES!$I28="",R$4=""),"",IF(ACTIVIDADES!$I28=R$4,"●",IF(AND(ACTIVIDADES!$H28&lt;=R$4,ACTIVIDADES!$I28&gt;=R$4),"·","")))</f>
        <v/>
      </c>
      <c r="T28" s="8" t="str">
        <f>IF(OR(ACTIVIDADES!$I28="",S$4=""),"",IF(ACTIVIDADES!$I28=S$4,"●",IF(AND(ACTIVIDADES!$H28&lt;=S$4,ACTIVIDADES!$I28&gt;=S$4),"·","")))</f>
        <v/>
      </c>
      <c r="U28" s="8" t="str">
        <f>IF(OR(ACTIVIDADES!$I28="",T$4=""),"",IF(ACTIVIDADES!$I28=T$4,"●",IF(AND(ACTIVIDADES!$H28&lt;=T$4,ACTIVIDADES!$I28&gt;=T$4),"·","")))</f>
        <v/>
      </c>
      <c r="V28" s="8" t="str">
        <f>IF(OR(ACTIVIDADES!$I28="",U$4=""),"",IF(ACTIVIDADES!$I28=U$4,"●",IF(AND(ACTIVIDADES!$H28&lt;=U$4,ACTIVIDADES!$I28&gt;=U$4),"·","")))</f>
        <v/>
      </c>
      <c r="W28" s="8" t="str">
        <f>IF(OR(ACTIVIDADES!$I28="",V$4=""),"",IF(ACTIVIDADES!$I28=V$4,"●",IF(AND(ACTIVIDADES!$H28&lt;=V$4,ACTIVIDADES!$I28&gt;=V$4),"·","")))</f>
        <v/>
      </c>
      <c r="X28" s="8" t="str">
        <f>IF(OR(ACTIVIDADES!$I28="",W$4=""),"",IF(ACTIVIDADES!$I28=W$4,"●",IF(AND(ACTIVIDADES!$H28&lt;=W$4,ACTIVIDADES!$I28&gt;=W$4),"·","")))</f>
        <v/>
      </c>
      <c r="Y28" s="8" t="str">
        <f>IF(OR(ACTIVIDADES!$I28="",X$4=""),"",IF(ACTIVIDADES!$I28=X$4,"●",IF(AND(ACTIVIDADES!$H28&lt;=X$4,ACTIVIDADES!$I28&gt;=X$4),"·","")))</f>
        <v/>
      </c>
      <c r="Z28" s="8" t="str">
        <f>IF(OR(ACTIVIDADES!$I28="",Y$4=""),"",IF(ACTIVIDADES!$I28=Y$4,"●",IF(AND(ACTIVIDADES!$H28&lt;=Y$4,ACTIVIDADES!$I28&gt;=Y$4),"·","")))</f>
        <v/>
      </c>
      <c r="AA28" s="8" t="str">
        <f>IF(OR(ACTIVIDADES!$I28="",Z$4=""),"",IF(ACTIVIDADES!$I28=Z$4,"●",IF(AND(ACTIVIDADES!$H28&lt;=Z$4,ACTIVIDADES!$I28&gt;=Z$4),"·","")))</f>
        <v/>
      </c>
      <c r="AB28" s="8" t="str">
        <f>IF(OR(ACTIVIDADES!$I28="",AA$4=""),"",IF(ACTIVIDADES!$I28=AA$4,"●",IF(AND(ACTIVIDADES!$H28&lt;=AA$4,ACTIVIDADES!$I28&gt;=AA$4),"·","")))</f>
        <v/>
      </c>
      <c r="AC28" s="8" t="str">
        <f>IF(OR(ACTIVIDADES!$I28="",AB$4=""),"",IF(ACTIVIDADES!$I28=AB$4,"●",IF(AND(ACTIVIDADES!$H28&lt;=AB$4,ACTIVIDADES!$I28&gt;=AB$4),"·","")))</f>
        <v/>
      </c>
      <c r="AD28" s="8" t="str">
        <f>IF(OR(ACTIVIDADES!$I28="",AC$4=""),"",IF(ACTIVIDADES!$I28=AC$4,"●",IF(AND(ACTIVIDADES!$H28&lt;=AC$4,ACTIVIDADES!$I28&gt;=AC$4),"·","")))</f>
        <v/>
      </c>
      <c r="AE28" s="8" t="str">
        <f>IF(OR(ACTIVIDADES!$I28="",AD$4=""),"",IF(ACTIVIDADES!$I28=AD$4,"●",IF(AND(ACTIVIDADES!$H28&lt;=AD$4,ACTIVIDADES!$I28&gt;=AD$4),"·","")))</f>
        <v/>
      </c>
      <c r="AF28" s="8" t="str">
        <f>IF(OR(ACTIVIDADES!$I28="",AE$4=""),"",IF(ACTIVIDADES!$I28=AE$4,"●",IF(AND(ACTIVIDADES!$H28&lt;=AE$4,ACTIVIDADES!$I28&gt;=AE$4),"·","")))</f>
        <v/>
      </c>
      <c r="AG28" s="8" t="str">
        <f>IF(OR(ACTIVIDADES!$I28="",AF$4=""),"",IF(ACTIVIDADES!$I28=AF$4,"●",IF(AND(ACTIVIDADES!$H28&lt;=AF$4,ACTIVIDADES!$I28&gt;=AF$4),"·","")))</f>
        <v/>
      </c>
      <c r="AH28" s="8" t="str">
        <f>IF(OR(ACTIVIDADES!$I28="",AG$4=""),"",IF(ACTIVIDADES!$I28=AG$4,"●",IF(AND(ACTIVIDADES!$H28&lt;=AG$4,ACTIVIDADES!$I28&gt;=AG$4),"·","")))</f>
        <v/>
      </c>
      <c r="AI28" s="8" t="str">
        <f>IF(OR(ACTIVIDADES!$I28="",AH$4=""),"",IF(ACTIVIDADES!$I28=AH$4,"●",IF(AND(ACTIVIDADES!$H28&lt;=AH$4,ACTIVIDADES!$I28&gt;=AH$4),"·","")))</f>
        <v/>
      </c>
      <c r="AJ28" t="str">
        <f>IF(ACTIVIDADES!K28="","",ACTIVIDADES!K28)</f>
        <v>Cerrado</v>
      </c>
    </row>
    <row r="29" spans="1:36">
      <c r="A29" t="str">
        <f>IF(ACTIVIDADES!A29="","",ACTIVIDADES!A29)</f>
        <v>04.04</v>
      </c>
      <c r="B29" t="str">
        <f>IF(ACTIVIDADES!B29="","",ACTIVIDADES!B29)</f>
        <v>SECAP</v>
      </c>
      <c r="C29" t="str">
        <f>IF(ACTIVIDADES!C29="","",ACTIVIDADES!C29)</f>
        <v>Corte</v>
      </c>
      <c r="D29" t="str">
        <f>IF(ACTIVIDADES!D29="","",ACTIVIDADES!D29)</f>
        <v>Preparar y entregar corte del día 10</v>
      </c>
      <c r="E29" s="8" t="str">
        <f>IF(OR(ACTIVIDADES!$I29="",D$4=""),"",IF(ACTIVIDADES!$I29=D$4,"●",IF(AND(ACTIVIDADES!$H29&lt;=D$4,ACTIVIDADES!$I29&gt;=D$4),"·","")))</f>
        <v/>
      </c>
      <c r="F29" s="8" t="str">
        <f>IF(OR(ACTIVIDADES!$I29="",E$4=""),"",IF(ACTIVIDADES!$I29=E$4,"●",IF(AND(ACTIVIDADES!$H29&lt;=E$4,ACTIVIDADES!$I29&gt;=E$4),"·","")))</f>
        <v/>
      </c>
      <c r="G29" s="8" t="str">
        <f>IF(OR(ACTIVIDADES!$I29="",F$4=""),"",IF(ACTIVIDADES!$I29=F$4,"●",IF(AND(ACTIVIDADES!$H29&lt;=F$4,ACTIVIDADES!$I29&gt;=F$4),"·","")))</f>
        <v/>
      </c>
      <c r="H29" s="8" t="str">
        <f>IF(OR(ACTIVIDADES!$I29="",G$4=""),"",IF(ACTIVIDADES!$I29=G$4,"●",IF(AND(ACTIVIDADES!$H29&lt;=G$4,ACTIVIDADES!$I29&gt;=G$4),"·","")))</f>
        <v/>
      </c>
      <c r="I29" s="8" t="str">
        <f>IF(OR(ACTIVIDADES!$I29="",H$4=""),"",IF(ACTIVIDADES!$I29=H$4,"●",IF(AND(ACTIVIDADES!$H29&lt;=H$4,ACTIVIDADES!$I29&gt;=H$4),"·","")))</f>
        <v/>
      </c>
      <c r="J29" s="8" t="str">
        <f>IF(OR(ACTIVIDADES!$I29="",I$4=""),"",IF(ACTIVIDADES!$I29=I$4,"●",IF(AND(ACTIVIDADES!$H29&lt;=I$4,ACTIVIDADES!$I29&gt;=I$4),"·","")))</f>
        <v/>
      </c>
      <c r="K29" s="8" t="str">
        <f>IF(OR(ACTIVIDADES!$I29="",J$4=""),"",IF(ACTIVIDADES!$I29=J$4,"●",IF(AND(ACTIVIDADES!$H29&lt;=J$4,ACTIVIDADES!$I29&gt;=J$4),"·","")))</f>
        <v/>
      </c>
      <c r="L29" s="8" t="str">
        <f>IF(OR(ACTIVIDADES!$I29="",K$4=""),"",IF(ACTIVIDADES!$I29=K$4,"●",IF(AND(ACTIVIDADES!$H29&lt;=K$4,ACTIVIDADES!$I29&gt;=K$4),"·","")))</f>
        <v/>
      </c>
      <c r="M29" s="8" t="str">
        <f>IF(OR(ACTIVIDADES!$I29="",L$4=""),"",IF(ACTIVIDADES!$I29=L$4,"●",IF(AND(ACTIVIDADES!$H29&lt;=L$4,ACTIVIDADES!$I29&gt;=L$4),"·","")))</f>
        <v/>
      </c>
      <c r="N29" s="8" t="str">
        <f>IF(OR(ACTIVIDADES!$I29="",M$4=""),"",IF(ACTIVIDADES!$I29=M$4,"●",IF(AND(ACTIVIDADES!$H29&lt;=M$4,ACTIVIDADES!$I29&gt;=M$4),"·","")))</f>
        <v/>
      </c>
      <c r="O29" s="8" t="str">
        <f>IF(OR(ACTIVIDADES!$I29="",N$4=""),"",IF(ACTIVIDADES!$I29=N$4,"●",IF(AND(ACTIVIDADES!$H29&lt;=N$4,ACTIVIDADES!$I29&gt;=N$4),"·","")))</f>
        <v>●</v>
      </c>
      <c r="P29" s="8" t="str">
        <f>IF(OR(ACTIVIDADES!$I29="",O$4=""),"",IF(ACTIVIDADES!$I29=O$4,"●",IF(AND(ACTIVIDADES!$H29&lt;=O$4,ACTIVIDADES!$I29&gt;=O$4),"·","")))</f>
        <v/>
      </c>
      <c r="Q29" s="8" t="str">
        <f>IF(OR(ACTIVIDADES!$I29="",P$4=""),"",IF(ACTIVIDADES!$I29=P$4,"●",IF(AND(ACTIVIDADES!$H29&lt;=P$4,ACTIVIDADES!$I29&gt;=P$4),"·","")))</f>
        <v/>
      </c>
      <c r="R29" s="8" t="str">
        <f>IF(OR(ACTIVIDADES!$I29="",Q$4=""),"",IF(ACTIVIDADES!$I29=Q$4,"●",IF(AND(ACTIVIDADES!$H29&lt;=Q$4,ACTIVIDADES!$I29&gt;=Q$4),"·","")))</f>
        <v/>
      </c>
      <c r="S29" s="8" t="str">
        <f>IF(OR(ACTIVIDADES!$I29="",R$4=""),"",IF(ACTIVIDADES!$I29=R$4,"●",IF(AND(ACTIVIDADES!$H29&lt;=R$4,ACTIVIDADES!$I29&gt;=R$4),"·","")))</f>
        <v/>
      </c>
      <c r="T29" s="8" t="str">
        <f>IF(OR(ACTIVIDADES!$I29="",S$4=""),"",IF(ACTIVIDADES!$I29=S$4,"●",IF(AND(ACTIVIDADES!$H29&lt;=S$4,ACTIVIDADES!$I29&gt;=S$4),"·","")))</f>
        <v/>
      </c>
      <c r="U29" s="8" t="str">
        <f>IF(OR(ACTIVIDADES!$I29="",T$4=""),"",IF(ACTIVIDADES!$I29=T$4,"●",IF(AND(ACTIVIDADES!$H29&lt;=T$4,ACTIVIDADES!$I29&gt;=T$4),"·","")))</f>
        <v/>
      </c>
      <c r="V29" s="8" t="str">
        <f>IF(OR(ACTIVIDADES!$I29="",U$4=""),"",IF(ACTIVIDADES!$I29=U$4,"●",IF(AND(ACTIVIDADES!$H29&lt;=U$4,ACTIVIDADES!$I29&gt;=U$4),"·","")))</f>
        <v/>
      </c>
      <c r="W29" s="8" t="str">
        <f>IF(OR(ACTIVIDADES!$I29="",V$4=""),"",IF(ACTIVIDADES!$I29=V$4,"●",IF(AND(ACTIVIDADES!$H29&lt;=V$4,ACTIVIDADES!$I29&gt;=V$4),"·","")))</f>
        <v/>
      </c>
      <c r="X29" s="8" t="str">
        <f>IF(OR(ACTIVIDADES!$I29="",W$4=""),"",IF(ACTIVIDADES!$I29=W$4,"●",IF(AND(ACTIVIDADES!$H29&lt;=W$4,ACTIVIDADES!$I29&gt;=W$4),"·","")))</f>
        <v/>
      </c>
      <c r="Y29" s="8" t="str">
        <f>IF(OR(ACTIVIDADES!$I29="",X$4=""),"",IF(ACTIVIDADES!$I29=X$4,"●",IF(AND(ACTIVIDADES!$H29&lt;=X$4,ACTIVIDADES!$I29&gt;=X$4),"·","")))</f>
        <v/>
      </c>
      <c r="Z29" s="8" t="str">
        <f>IF(OR(ACTIVIDADES!$I29="",Y$4=""),"",IF(ACTIVIDADES!$I29=Y$4,"●",IF(AND(ACTIVIDADES!$H29&lt;=Y$4,ACTIVIDADES!$I29&gt;=Y$4),"·","")))</f>
        <v/>
      </c>
      <c r="AA29" s="8" t="str">
        <f>IF(OR(ACTIVIDADES!$I29="",Z$4=""),"",IF(ACTIVIDADES!$I29=Z$4,"●",IF(AND(ACTIVIDADES!$H29&lt;=Z$4,ACTIVIDADES!$I29&gt;=Z$4),"·","")))</f>
        <v/>
      </c>
      <c r="AB29" s="8" t="str">
        <f>IF(OR(ACTIVIDADES!$I29="",AA$4=""),"",IF(ACTIVIDADES!$I29=AA$4,"●",IF(AND(ACTIVIDADES!$H29&lt;=AA$4,ACTIVIDADES!$I29&gt;=AA$4),"·","")))</f>
        <v/>
      </c>
      <c r="AC29" s="8" t="str">
        <f>IF(OR(ACTIVIDADES!$I29="",AB$4=""),"",IF(ACTIVIDADES!$I29=AB$4,"●",IF(AND(ACTIVIDADES!$H29&lt;=AB$4,ACTIVIDADES!$I29&gt;=AB$4),"·","")))</f>
        <v/>
      </c>
      <c r="AD29" s="8" t="str">
        <f>IF(OR(ACTIVIDADES!$I29="",AC$4=""),"",IF(ACTIVIDADES!$I29=AC$4,"●",IF(AND(ACTIVIDADES!$H29&lt;=AC$4,ACTIVIDADES!$I29&gt;=AC$4),"·","")))</f>
        <v/>
      </c>
      <c r="AE29" s="8" t="str">
        <f>IF(OR(ACTIVIDADES!$I29="",AD$4=""),"",IF(ACTIVIDADES!$I29=AD$4,"●",IF(AND(ACTIVIDADES!$H29&lt;=AD$4,ACTIVIDADES!$I29&gt;=AD$4),"·","")))</f>
        <v/>
      </c>
      <c r="AF29" s="8" t="str">
        <f>IF(OR(ACTIVIDADES!$I29="",AE$4=""),"",IF(ACTIVIDADES!$I29=AE$4,"●",IF(AND(ACTIVIDADES!$H29&lt;=AE$4,ACTIVIDADES!$I29&gt;=AE$4),"·","")))</f>
        <v/>
      </c>
      <c r="AG29" s="8" t="str">
        <f>IF(OR(ACTIVIDADES!$I29="",AF$4=""),"",IF(ACTIVIDADES!$I29=AF$4,"●",IF(AND(ACTIVIDADES!$H29&lt;=AF$4,ACTIVIDADES!$I29&gt;=AF$4),"·","")))</f>
        <v/>
      </c>
      <c r="AH29" s="8" t="str">
        <f>IF(OR(ACTIVIDADES!$I29="",AG$4=""),"",IF(ACTIVIDADES!$I29=AG$4,"●",IF(AND(ACTIVIDADES!$H29&lt;=AG$4,ACTIVIDADES!$I29&gt;=AG$4),"·","")))</f>
        <v/>
      </c>
      <c r="AI29" s="8" t="str">
        <f>IF(OR(ACTIVIDADES!$I29="",AH$4=""),"",IF(ACTIVIDADES!$I29=AH$4,"●",IF(AND(ACTIVIDADES!$H29&lt;=AH$4,ACTIVIDADES!$I29&gt;=AH$4),"·","")))</f>
        <v/>
      </c>
      <c r="AJ29" t="str">
        <f>IF(ACTIVIDADES!K29="","",ACTIVIDADES!K29)</f>
        <v>Cerrado</v>
      </c>
    </row>
    <row r="30" spans="1:36">
      <c r="A30" t="str">
        <f>IF(ACTIVIDADES!A30="","",ACTIVIDADES!A30)</f>
        <v>04.05</v>
      </c>
      <c r="B30" t="str">
        <f>IF(ACTIVIDADES!B30="","",ACTIVIDADES!B30)</f>
        <v>SECAP</v>
      </c>
      <c r="C30" t="str">
        <f>IF(ACTIVIDADES!C30="","",ACTIVIDADES!C30)</f>
        <v>Corte</v>
      </c>
      <c r="D30" t="str">
        <f>IF(ACTIVIDADES!D30="","",ACTIVIDADES!D30)</f>
        <v>Preparar y entregar corte del día 20</v>
      </c>
      <c r="E30" s="8" t="str">
        <f>IF(OR(ACTIVIDADES!$I30="",D$4=""),"",IF(ACTIVIDADES!$I30=D$4,"●",IF(AND(ACTIVIDADES!$H30&lt;=D$4,ACTIVIDADES!$I30&gt;=D$4),"·","")))</f>
        <v/>
      </c>
      <c r="F30" s="8" t="str">
        <f>IF(OR(ACTIVIDADES!$I30="",E$4=""),"",IF(ACTIVIDADES!$I30=E$4,"●",IF(AND(ACTIVIDADES!$H30&lt;=E$4,ACTIVIDADES!$I30&gt;=E$4),"·","")))</f>
        <v/>
      </c>
      <c r="G30" s="8" t="str">
        <f>IF(OR(ACTIVIDADES!$I30="",F$4=""),"",IF(ACTIVIDADES!$I30=F$4,"●",IF(AND(ACTIVIDADES!$H30&lt;=F$4,ACTIVIDADES!$I30&gt;=F$4),"·","")))</f>
        <v/>
      </c>
      <c r="H30" s="8" t="str">
        <f>IF(OR(ACTIVIDADES!$I30="",G$4=""),"",IF(ACTIVIDADES!$I30=G$4,"●",IF(AND(ACTIVIDADES!$H30&lt;=G$4,ACTIVIDADES!$I30&gt;=G$4),"·","")))</f>
        <v/>
      </c>
      <c r="I30" s="8" t="str">
        <f>IF(OR(ACTIVIDADES!$I30="",H$4=""),"",IF(ACTIVIDADES!$I30=H$4,"●",IF(AND(ACTIVIDADES!$H30&lt;=H$4,ACTIVIDADES!$I30&gt;=H$4),"·","")))</f>
        <v/>
      </c>
      <c r="J30" s="8" t="str">
        <f>IF(OR(ACTIVIDADES!$I30="",I$4=""),"",IF(ACTIVIDADES!$I30=I$4,"●",IF(AND(ACTIVIDADES!$H30&lt;=I$4,ACTIVIDADES!$I30&gt;=I$4),"·","")))</f>
        <v/>
      </c>
      <c r="K30" s="8" t="str">
        <f>IF(OR(ACTIVIDADES!$I30="",J$4=""),"",IF(ACTIVIDADES!$I30=J$4,"●",IF(AND(ACTIVIDADES!$H30&lt;=J$4,ACTIVIDADES!$I30&gt;=J$4),"·","")))</f>
        <v/>
      </c>
      <c r="L30" s="8" t="str">
        <f>IF(OR(ACTIVIDADES!$I30="",K$4=""),"",IF(ACTIVIDADES!$I30=K$4,"●",IF(AND(ACTIVIDADES!$H30&lt;=K$4,ACTIVIDADES!$I30&gt;=K$4),"·","")))</f>
        <v/>
      </c>
      <c r="M30" s="8" t="str">
        <f>IF(OR(ACTIVIDADES!$I30="",L$4=""),"",IF(ACTIVIDADES!$I30=L$4,"●",IF(AND(ACTIVIDADES!$H30&lt;=L$4,ACTIVIDADES!$I30&gt;=L$4),"·","")))</f>
        <v/>
      </c>
      <c r="N30" s="8" t="str">
        <f>IF(OR(ACTIVIDADES!$I30="",M$4=""),"",IF(ACTIVIDADES!$I30=M$4,"●",IF(AND(ACTIVIDADES!$H30&lt;=M$4,ACTIVIDADES!$I30&gt;=M$4),"·","")))</f>
        <v/>
      </c>
      <c r="O30" s="8" t="str">
        <f>IF(OR(ACTIVIDADES!$I30="",N$4=""),"",IF(ACTIVIDADES!$I30=N$4,"●",IF(AND(ACTIVIDADES!$H30&lt;=N$4,ACTIVIDADES!$I30&gt;=N$4),"·","")))</f>
        <v/>
      </c>
      <c r="P30" s="8" t="str">
        <f>IF(OR(ACTIVIDADES!$I30="",O$4=""),"",IF(ACTIVIDADES!$I30=O$4,"●",IF(AND(ACTIVIDADES!$H30&lt;=O$4,ACTIVIDADES!$I30&gt;=O$4),"·","")))</f>
        <v/>
      </c>
      <c r="Q30" s="8" t="str">
        <f>IF(OR(ACTIVIDADES!$I30="",P$4=""),"",IF(ACTIVIDADES!$I30=P$4,"●",IF(AND(ACTIVIDADES!$H30&lt;=P$4,ACTIVIDADES!$I30&gt;=P$4),"·","")))</f>
        <v/>
      </c>
      <c r="R30" s="8" t="str">
        <f>IF(OR(ACTIVIDADES!$I30="",Q$4=""),"",IF(ACTIVIDADES!$I30=Q$4,"●",IF(AND(ACTIVIDADES!$H30&lt;=Q$4,ACTIVIDADES!$I30&gt;=Q$4),"·","")))</f>
        <v/>
      </c>
      <c r="S30" s="8" t="str">
        <f>IF(OR(ACTIVIDADES!$I30="",R$4=""),"",IF(ACTIVIDADES!$I30=R$4,"●",IF(AND(ACTIVIDADES!$H30&lt;=R$4,ACTIVIDADES!$I30&gt;=R$4),"·","")))</f>
        <v/>
      </c>
      <c r="T30" s="8" t="str">
        <f>IF(OR(ACTIVIDADES!$I30="",S$4=""),"",IF(ACTIVIDADES!$I30=S$4,"●",IF(AND(ACTIVIDADES!$H30&lt;=S$4,ACTIVIDADES!$I30&gt;=S$4),"·","")))</f>
        <v/>
      </c>
      <c r="U30" s="8" t="str">
        <f>IF(OR(ACTIVIDADES!$I30="",T$4=""),"",IF(ACTIVIDADES!$I30=T$4,"●",IF(AND(ACTIVIDADES!$H30&lt;=T$4,ACTIVIDADES!$I30&gt;=T$4),"·","")))</f>
        <v/>
      </c>
      <c r="V30" s="8" t="str">
        <f>IF(OR(ACTIVIDADES!$I30="",U$4=""),"",IF(ACTIVIDADES!$I30=U$4,"●",IF(AND(ACTIVIDADES!$H30&lt;=U$4,ACTIVIDADES!$I30&gt;=U$4),"·","")))</f>
        <v/>
      </c>
      <c r="W30" s="8" t="str">
        <f>IF(OR(ACTIVIDADES!$I30="",V$4=""),"",IF(ACTIVIDADES!$I30=V$4,"●",IF(AND(ACTIVIDADES!$H30&lt;=V$4,ACTIVIDADES!$I30&gt;=V$4),"·","")))</f>
        <v/>
      </c>
      <c r="X30" s="8" t="str">
        <f>IF(OR(ACTIVIDADES!$I30="",W$4=""),"",IF(ACTIVIDADES!$I30=W$4,"●",IF(AND(ACTIVIDADES!$H30&lt;=W$4,ACTIVIDADES!$I30&gt;=W$4),"·","")))</f>
        <v/>
      </c>
      <c r="Y30" s="8" t="str">
        <f>IF(OR(ACTIVIDADES!$I30="",X$4=""),"",IF(ACTIVIDADES!$I30=X$4,"●",IF(AND(ACTIVIDADES!$H30&lt;=X$4,ACTIVIDADES!$I30&gt;=X$4),"·","")))</f>
        <v>●</v>
      </c>
      <c r="Z30" s="8" t="str">
        <f>IF(OR(ACTIVIDADES!$I30="",Y$4=""),"",IF(ACTIVIDADES!$I30=Y$4,"●",IF(AND(ACTIVIDADES!$H30&lt;=Y$4,ACTIVIDADES!$I30&gt;=Y$4),"·","")))</f>
        <v/>
      </c>
      <c r="AA30" s="8" t="str">
        <f>IF(OR(ACTIVIDADES!$I30="",Z$4=""),"",IF(ACTIVIDADES!$I30=Z$4,"●",IF(AND(ACTIVIDADES!$H30&lt;=Z$4,ACTIVIDADES!$I30&gt;=Z$4),"·","")))</f>
        <v/>
      </c>
      <c r="AB30" s="8" t="str">
        <f>IF(OR(ACTIVIDADES!$I30="",AA$4=""),"",IF(ACTIVIDADES!$I30=AA$4,"●",IF(AND(ACTIVIDADES!$H30&lt;=AA$4,ACTIVIDADES!$I30&gt;=AA$4),"·","")))</f>
        <v/>
      </c>
      <c r="AC30" s="8" t="str">
        <f>IF(OR(ACTIVIDADES!$I30="",AB$4=""),"",IF(ACTIVIDADES!$I30=AB$4,"●",IF(AND(ACTIVIDADES!$H30&lt;=AB$4,ACTIVIDADES!$I30&gt;=AB$4),"·","")))</f>
        <v/>
      </c>
      <c r="AD30" s="8" t="str">
        <f>IF(OR(ACTIVIDADES!$I30="",AC$4=""),"",IF(ACTIVIDADES!$I30=AC$4,"●",IF(AND(ACTIVIDADES!$H30&lt;=AC$4,ACTIVIDADES!$I30&gt;=AC$4),"·","")))</f>
        <v/>
      </c>
      <c r="AE30" s="8" t="str">
        <f>IF(OR(ACTIVIDADES!$I30="",AD$4=""),"",IF(ACTIVIDADES!$I30=AD$4,"●",IF(AND(ACTIVIDADES!$H30&lt;=AD$4,ACTIVIDADES!$I30&gt;=AD$4),"·","")))</f>
        <v/>
      </c>
      <c r="AF30" s="8" t="str">
        <f>IF(OR(ACTIVIDADES!$I30="",AE$4=""),"",IF(ACTIVIDADES!$I30=AE$4,"●",IF(AND(ACTIVIDADES!$H30&lt;=AE$4,ACTIVIDADES!$I30&gt;=AE$4),"·","")))</f>
        <v/>
      </c>
      <c r="AG30" s="8" t="str">
        <f>IF(OR(ACTIVIDADES!$I30="",AF$4=""),"",IF(ACTIVIDADES!$I30=AF$4,"●",IF(AND(ACTIVIDADES!$H30&lt;=AF$4,ACTIVIDADES!$I30&gt;=AF$4),"·","")))</f>
        <v/>
      </c>
      <c r="AH30" s="8" t="str">
        <f>IF(OR(ACTIVIDADES!$I30="",AG$4=""),"",IF(ACTIVIDADES!$I30=AG$4,"●",IF(AND(ACTIVIDADES!$H30&lt;=AG$4,ACTIVIDADES!$I30&gt;=AG$4),"·","")))</f>
        <v/>
      </c>
      <c r="AI30" s="8" t="str">
        <f>IF(OR(ACTIVIDADES!$I30="",AH$4=""),"",IF(ACTIVIDADES!$I30=AH$4,"●",IF(AND(ACTIVIDADES!$H30&lt;=AH$4,ACTIVIDADES!$I30&gt;=AH$4),"·","")))</f>
        <v/>
      </c>
      <c r="AJ30" t="str">
        <f>IF(ACTIVIDADES!K30="","",ACTIVIDADES!K30)</f>
        <v>Pendiente</v>
      </c>
    </row>
    <row r="31" spans="1:36">
      <c r="A31" t="str">
        <f>IF(ACTIVIDADES!A31="","",ACTIVIDADES!A31)</f>
        <v>04.06</v>
      </c>
      <c r="B31" t="str">
        <f>IF(ACTIVIDADES!B31="","",ACTIVIDADES!B31)</f>
        <v>SECAP</v>
      </c>
      <c r="C31" t="str">
        <f>IF(ACTIVIDADES!C31="","",ACTIVIDADES!C31)</f>
        <v>Corte</v>
      </c>
      <c r="D31" t="str">
        <f>IF(ACTIVIDADES!D31="","",ACTIVIDADES!D31)</f>
        <v>Preparar y entregar corte del día 26</v>
      </c>
      <c r="E31" s="8" t="str">
        <f>IF(OR(ACTIVIDADES!$I31="",D$4=""),"",IF(ACTIVIDADES!$I31=D$4,"●",IF(AND(ACTIVIDADES!$H31&lt;=D$4,ACTIVIDADES!$I31&gt;=D$4),"·","")))</f>
        <v/>
      </c>
      <c r="F31" s="8" t="str">
        <f>IF(OR(ACTIVIDADES!$I31="",E$4=""),"",IF(ACTIVIDADES!$I31=E$4,"●",IF(AND(ACTIVIDADES!$H31&lt;=E$4,ACTIVIDADES!$I31&gt;=E$4),"·","")))</f>
        <v/>
      </c>
      <c r="G31" s="8" t="str">
        <f>IF(OR(ACTIVIDADES!$I31="",F$4=""),"",IF(ACTIVIDADES!$I31=F$4,"●",IF(AND(ACTIVIDADES!$H31&lt;=F$4,ACTIVIDADES!$I31&gt;=F$4),"·","")))</f>
        <v/>
      </c>
      <c r="H31" s="8" t="str">
        <f>IF(OR(ACTIVIDADES!$I31="",G$4=""),"",IF(ACTIVIDADES!$I31=G$4,"●",IF(AND(ACTIVIDADES!$H31&lt;=G$4,ACTIVIDADES!$I31&gt;=G$4),"·","")))</f>
        <v/>
      </c>
      <c r="I31" s="8" t="str">
        <f>IF(OR(ACTIVIDADES!$I31="",H$4=""),"",IF(ACTIVIDADES!$I31=H$4,"●",IF(AND(ACTIVIDADES!$H31&lt;=H$4,ACTIVIDADES!$I31&gt;=H$4),"·","")))</f>
        <v/>
      </c>
      <c r="J31" s="8" t="str">
        <f>IF(OR(ACTIVIDADES!$I31="",I$4=""),"",IF(ACTIVIDADES!$I31=I$4,"●",IF(AND(ACTIVIDADES!$H31&lt;=I$4,ACTIVIDADES!$I31&gt;=I$4),"·","")))</f>
        <v/>
      </c>
      <c r="K31" s="8" t="str">
        <f>IF(OR(ACTIVIDADES!$I31="",J$4=""),"",IF(ACTIVIDADES!$I31=J$4,"●",IF(AND(ACTIVIDADES!$H31&lt;=J$4,ACTIVIDADES!$I31&gt;=J$4),"·","")))</f>
        <v/>
      </c>
      <c r="L31" s="8" t="str">
        <f>IF(OR(ACTIVIDADES!$I31="",K$4=""),"",IF(ACTIVIDADES!$I31=K$4,"●",IF(AND(ACTIVIDADES!$H31&lt;=K$4,ACTIVIDADES!$I31&gt;=K$4),"·","")))</f>
        <v/>
      </c>
      <c r="M31" s="8" t="str">
        <f>IF(OR(ACTIVIDADES!$I31="",L$4=""),"",IF(ACTIVIDADES!$I31=L$4,"●",IF(AND(ACTIVIDADES!$H31&lt;=L$4,ACTIVIDADES!$I31&gt;=L$4),"·","")))</f>
        <v/>
      </c>
      <c r="N31" s="8" t="str">
        <f>IF(OR(ACTIVIDADES!$I31="",M$4=""),"",IF(ACTIVIDADES!$I31=M$4,"●",IF(AND(ACTIVIDADES!$H31&lt;=M$4,ACTIVIDADES!$I31&gt;=M$4),"·","")))</f>
        <v/>
      </c>
      <c r="O31" s="8" t="str">
        <f>IF(OR(ACTIVIDADES!$I31="",N$4=""),"",IF(ACTIVIDADES!$I31=N$4,"●",IF(AND(ACTIVIDADES!$H31&lt;=N$4,ACTIVIDADES!$I31&gt;=N$4),"·","")))</f>
        <v/>
      </c>
      <c r="P31" s="8" t="str">
        <f>IF(OR(ACTIVIDADES!$I31="",O$4=""),"",IF(ACTIVIDADES!$I31=O$4,"●",IF(AND(ACTIVIDADES!$H31&lt;=O$4,ACTIVIDADES!$I31&gt;=O$4),"·","")))</f>
        <v/>
      </c>
      <c r="Q31" s="8" t="str">
        <f>IF(OR(ACTIVIDADES!$I31="",P$4=""),"",IF(ACTIVIDADES!$I31=P$4,"●",IF(AND(ACTIVIDADES!$H31&lt;=P$4,ACTIVIDADES!$I31&gt;=P$4),"·","")))</f>
        <v/>
      </c>
      <c r="R31" s="8" t="str">
        <f>IF(OR(ACTIVIDADES!$I31="",Q$4=""),"",IF(ACTIVIDADES!$I31=Q$4,"●",IF(AND(ACTIVIDADES!$H31&lt;=Q$4,ACTIVIDADES!$I31&gt;=Q$4),"·","")))</f>
        <v/>
      </c>
      <c r="S31" s="8" t="str">
        <f>IF(OR(ACTIVIDADES!$I31="",R$4=""),"",IF(ACTIVIDADES!$I31=R$4,"●",IF(AND(ACTIVIDADES!$H31&lt;=R$4,ACTIVIDADES!$I31&gt;=R$4),"·","")))</f>
        <v/>
      </c>
      <c r="T31" s="8" t="str">
        <f>IF(OR(ACTIVIDADES!$I31="",S$4=""),"",IF(ACTIVIDADES!$I31=S$4,"●",IF(AND(ACTIVIDADES!$H31&lt;=S$4,ACTIVIDADES!$I31&gt;=S$4),"·","")))</f>
        <v/>
      </c>
      <c r="U31" s="8" t="str">
        <f>IF(OR(ACTIVIDADES!$I31="",T$4=""),"",IF(ACTIVIDADES!$I31=T$4,"●",IF(AND(ACTIVIDADES!$H31&lt;=T$4,ACTIVIDADES!$I31&gt;=T$4),"·","")))</f>
        <v/>
      </c>
      <c r="V31" s="8" t="str">
        <f>IF(OR(ACTIVIDADES!$I31="",U$4=""),"",IF(ACTIVIDADES!$I31=U$4,"●",IF(AND(ACTIVIDADES!$H31&lt;=U$4,ACTIVIDADES!$I31&gt;=U$4),"·","")))</f>
        <v/>
      </c>
      <c r="W31" s="8" t="str">
        <f>IF(OR(ACTIVIDADES!$I31="",V$4=""),"",IF(ACTIVIDADES!$I31=V$4,"●",IF(AND(ACTIVIDADES!$H31&lt;=V$4,ACTIVIDADES!$I31&gt;=V$4),"·","")))</f>
        <v/>
      </c>
      <c r="X31" s="8" t="str">
        <f>IF(OR(ACTIVIDADES!$I31="",W$4=""),"",IF(ACTIVIDADES!$I31=W$4,"●",IF(AND(ACTIVIDADES!$H31&lt;=W$4,ACTIVIDADES!$I31&gt;=W$4),"·","")))</f>
        <v/>
      </c>
      <c r="Y31" s="8" t="str">
        <f>IF(OR(ACTIVIDADES!$I31="",X$4=""),"",IF(ACTIVIDADES!$I31=X$4,"●",IF(AND(ACTIVIDADES!$H31&lt;=X$4,ACTIVIDADES!$I31&gt;=X$4),"·","")))</f>
        <v/>
      </c>
      <c r="Z31" s="8" t="str">
        <f>IF(OR(ACTIVIDADES!$I31="",Y$4=""),"",IF(ACTIVIDADES!$I31=Y$4,"●",IF(AND(ACTIVIDADES!$H31&lt;=Y$4,ACTIVIDADES!$I31&gt;=Y$4),"·","")))</f>
        <v/>
      </c>
      <c r="AA31" s="8" t="str">
        <f>IF(OR(ACTIVIDADES!$I31="",Z$4=""),"",IF(ACTIVIDADES!$I31=Z$4,"●",IF(AND(ACTIVIDADES!$H31&lt;=Z$4,ACTIVIDADES!$I31&gt;=Z$4),"·","")))</f>
        <v/>
      </c>
      <c r="AB31" s="8" t="str">
        <f>IF(OR(ACTIVIDADES!$I31="",AA$4=""),"",IF(ACTIVIDADES!$I31=AA$4,"●",IF(AND(ACTIVIDADES!$H31&lt;=AA$4,ACTIVIDADES!$I31&gt;=AA$4),"·","")))</f>
        <v/>
      </c>
      <c r="AC31" s="8" t="str">
        <f>IF(OR(ACTIVIDADES!$I31="",AB$4=""),"",IF(ACTIVIDADES!$I31=AB$4,"●",IF(AND(ACTIVIDADES!$H31&lt;=AB$4,ACTIVIDADES!$I31&gt;=AB$4),"·","")))</f>
        <v/>
      </c>
      <c r="AD31" s="8" t="str">
        <f>IF(OR(ACTIVIDADES!$I31="",AC$4=""),"",IF(ACTIVIDADES!$I31=AC$4,"●",IF(AND(ACTIVIDADES!$H31&lt;=AC$4,ACTIVIDADES!$I31&gt;=AC$4),"·","")))</f>
        <v/>
      </c>
      <c r="AE31" s="8" t="str">
        <f>IF(OR(ACTIVIDADES!$I31="",AD$4=""),"",IF(ACTIVIDADES!$I31=AD$4,"●",IF(AND(ACTIVIDADES!$H31&lt;=AD$4,ACTIVIDADES!$I31&gt;=AD$4),"·","")))</f>
        <v>●</v>
      </c>
      <c r="AF31" s="8" t="str">
        <f>IF(OR(ACTIVIDADES!$I31="",AE$4=""),"",IF(ACTIVIDADES!$I31=AE$4,"●",IF(AND(ACTIVIDADES!$H31&lt;=AE$4,ACTIVIDADES!$I31&gt;=AE$4),"·","")))</f>
        <v/>
      </c>
      <c r="AG31" s="8" t="str">
        <f>IF(OR(ACTIVIDADES!$I31="",AF$4=""),"",IF(ACTIVIDADES!$I31=AF$4,"●",IF(AND(ACTIVIDADES!$H31&lt;=AF$4,ACTIVIDADES!$I31&gt;=AF$4),"·","")))</f>
        <v/>
      </c>
      <c r="AH31" s="8" t="str">
        <f>IF(OR(ACTIVIDADES!$I31="",AG$4=""),"",IF(ACTIVIDADES!$I31=AG$4,"●",IF(AND(ACTIVIDADES!$H31&lt;=AG$4,ACTIVIDADES!$I31&gt;=AG$4),"·","")))</f>
        <v/>
      </c>
      <c r="AI31" s="8" t="str">
        <f>IF(OR(ACTIVIDADES!$I31="",AH$4=""),"",IF(ACTIVIDADES!$I31=AH$4,"●",IF(AND(ACTIVIDADES!$H31&lt;=AH$4,ACTIVIDADES!$I31&gt;=AH$4),"·","")))</f>
        <v/>
      </c>
      <c r="AJ31" t="str">
        <f>IF(ACTIVIDADES!K31="","",ACTIVIDADES!K31)</f>
        <v>Pendiente</v>
      </c>
    </row>
    <row r="32" spans="1:36">
      <c r="A32" t="str">
        <f>IF(ACTIVIDADES!A32="","",ACTIVIDADES!A32)</f>
        <v>04.07</v>
      </c>
      <c r="B32" t="str">
        <f>IF(ACTIVIDADES!B32="","",ACTIVIDADES!B32)</f>
        <v>SECAP</v>
      </c>
      <c r="C32" t="str">
        <f>IF(ACTIVIDADES!C32="","",ACTIVIDADES!C32)</f>
        <v>Corte</v>
      </c>
      <c r="D32" t="str">
        <f>IF(ACTIVIDADES!D32="","",ACTIVIDADES!D32)</f>
        <v>Preparar y entregar corte del día 30</v>
      </c>
      <c r="E32" s="8" t="str">
        <f>IF(OR(ACTIVIDADES!$I32="",D$4=""),"",IF(ACTIVIDADES!$I32=D$4,"●",IF(AND(ACTIVIDADES!$H32&lt;=D$4,ACTIVIDADES!$I32&gt;=D$4),"·","")))</f>
        <v/>
      </c>
      <c r="F32" s="8" t="str">
        <f>IF(OR(ACTIVIDADES!$I32="",E$4=""),"",IF(ACTIVIDADES!$I32=E$4,"●",IF(AND(ACTIVIDADES!$H32&lt;=E$4,ACTIVIDADES!$I32&gt;=E$4),"·","")))</f>
        <v/>
      </c>
      <c r="G32" s="8" t="str">
        <f>IF(OR(ACTIVIDADES!$I32="",F$4=""),"",IF(ACTIVIDADES!$I32=F$4,"●",IF(AND(ACTIVIDADES!$H32&lt;=F$4,ACTIVIDADES!$I32&gt;=F$4),"·","")))</f>
        <v/>
      </c>
      <c r="H32" s="8" t="str">
        <f>IF(OR(ACTIVIDADES!$I32="",G$4=""),"",IF(ACTIVIDADES!$I32=G$4,"●",IF(AND(ACTIVIDADES!$H32&lt;=G$4,ACTIVIDADES!$I32&gt;=G$4),"·","")))</f>
        <v/>
      </c>
      <c r="I32" s="8" t="str">
        <f>IF(OR(ACTIVIDADES!$I32="",H$4=""),"",IF(ACTIVIDADES!$I32=H$4,"●",IF(AND(ACTIVIDADES!$H32&lt;=H$4,ACTIVIDADES!$I32&gt;=H$4),"·","")))</f>
        <v/>
      </c>
      <c r="J32" s="8" t="str">
        <f>IF(OR(ACTIVIDADES!$I32="",I$4=""),"",IF(ACTIVIDADES!$I32=I$4,"●",IF(AND(ACTIVIDADES!$H32&lt;=I$4,ACTIVIDADES!$I32&gt;=I$4),"·","")))</f>
        <v/>
      </c>
      <c r="K32" s="8" t="str">
        <f>IF(OR(ACTIVIDADES!$I32="",J$4=""),"",IF(ACTIVIDADES!$I32=J$4,"●",IF(AND(ACTIVIDADES!$H32&lt;=J$4,ACTIVIDADES!$I32&gt;=J$4),"·","")))</f>
        <v/>
      </c>
      <c r="L32" s="8" t="str">
        <f>IF(OR(ACTIVIDADES!$I32="",K$4=""),"",IF(ACTIVIDADES!$I32=K$4,"●",IF(AND(ACTIVIDADES!$H32&lt;=K$4,ACTIVIDADES!$I32&gt;=K$4),"·","")))</f>
        <v/>
      </c>
      <c r="M32" s="8" t="str">
        <f>IF(OR(ACTIVIDADES!$I32="",L$4=""),"",IF(ACTIVIDADES!$I32=L$4,"●",IF(AND(ACTIVIDADES!$H32&lt;=L$4,ACTIVIDADES!$I32&gt;=L$4),"·","")))</f>
        <v/>
      </c>
      <c r="N32" s="8" t="str">
        <f>IF(OR(ACTIVIDADES!$I32="",M$4=""),"",IF(ACTIVIDADES!$I32=M$4,"●",IF(AND(ACTIVIDADES!$H32&lt;=M$4,ACTIVIDADES!$I32&gt;=M$4),"·","")))</f>
        <v/>
      </c>
      <c r="O32" s="8" t="str">
        <f>IF(OR(ACTIVIDADES!$I32="",N$4=""),"",IF(ACTIVIDADES!$I32=N$4,"●",IF(AND(ACTIVIDADES!$H32&lt;=N$4,ACTIVIDADES!$I32&gt;=N$4),"·","")))</f>
        <v/>
      </c>
      <c r="P32" s="8" t="str">
        <f>IF(OR(ACTIVIDADES!$I32="",O$4=""),"",IF(ACTIVIDADES!$I32=O$4,"●",IF(AND(ACTIVIDADES!$H32&lt;=O$4,ACTIVIDADES!$I32&gt;=O$4),"·","")))</f>
        <v/>
      </c>
      <c r="Q32" s="8" t="str">
        <f>IF(OR(ACTIVIDADES!$I32="",P$4=""),"",IF(ACTIVIDADES!$I32=P$4,"●",IF(AND(ACTIVIDADES!$H32&lt;=P$4,ACTIVIDADES!$I32&gt;=P$4),"·","")))</f>
        <v/>
      </c>
      <c r="R32" s="8" t="str">
        <f>IF(OR(ACTIVIDADES!$I32="",Q$4=""),"",IF(ACTIVIDADES!$I32=Q$4,"●",IF(AND(ACTIVIDADES!$H32&lt;=Q$4,ACTIVIDADES!$I32&gt;=Q$4),"·","")))</f>
        <v/>
      </c>
      <c r="S32" s="8" t="str">
        <f>IF(OR(ACTIVIDADES!$I32="",R$4=""),"",IF(ACTIVIDADES!$I32=R$4,"●",IF(AND(ACTIVIDADES!$H32&lt;=R$4,ACTIVIDADES!$I32&gt;=R$4),"·","")))</f>
        <v/>
      </c>
      <c r="T32" s="8" t="str">
        <f>IF(OR(ACTIVIDADES!$I32="",S$4=""),"",IF(ACTIVIDADES!$I32=S$4,"●",IF(AND(ACTIVIDADES!$H32&lt;=S$4,ACTIVIDADES!$I32&gt;=S$4),"·","")))</f>
        <v/>
      </c>
      <c r="U32" s="8" t="str">
        <f>IF(OR(ACTIVIDADES!$I32="",T$4=""),"",IF(ACTIVIDADES!$I32=T$4,"●",IF(AND(ACTIVIDADES!$H32&lt;=T$4,ACTIVIDADES!$I32&gt;=T$4),"·","")))</f>
        <v/>
      </c>
      <c r="V32" s="8" t="str">
        <f>IF(OR(ACTIVIDADES!$I32="",U$4=""),"",IF(ACTIVIDADES!$I32=U$4,"●",IF(AND(ACTIVIDADES!$H32&lt;=U$4,ACTIVIDADES!$I32&gt;=U$4),"·","")))</f>
        <v/>
      </c>
      <c r="W32" s="8" t="str">
        <f>IF(OR(ACTIVIDADES!$I32="",V$4=""),"",IF(ACTIVIDADES!$I32=V$4,"●",IF(AND(ACTIVIDADES!$H32&lt;=V$4,ACTIVIDADES!$I32&gt;=V$4),"·","")))</f>
        <v/>
      </c>
      <c r="X32" s="8" t="str">
        <f>IF(OR(ACTIVIDADES!$I32="",W$4=""),"",IF(ACTIVIDADES!$I32=W$4,"●",IF(AND(ACTIVIDADES!$H32&lt;=W$4,ACTIVIDADES!$I32&gt;=W$4),"·","")))</f>
        <v/>
      </c>
      <c r="Y32" s="8" t="str">
        <f>IF(OR(ACTIVIDADES!$I32="",X$4=""),"",IF(ACTIVIDADES!$I32=X$4,"●",IF(AND(ACTIVIDADES!$H32&lt;=X$4,ACTIVIDADES!$I32&gt;=X$4),"·","")))</f>
        <v/>
      </c>
      <c r="Z32" s="8" t="str">
        <f>IF(OR(ACTIVIDADES!$I32="",Y$4=""),"",IF(ACTIVIDADES!$I32=Y$4,"●",IF(AND(ACTIVIDADES!$H32&lt;=Y$4,ACTIVIDADES!$I32&gt;=Y$4),"·","")))</f>
        <v/>
      </c>
      <c r="AA32" s="8" t="str">
        <f>IF(OR(ACTIVIDADES!$I32="",Z$4=""),"",IF(ACTIVIDADES!$I32=Z$4,"●",IF(AND(ACTIVIDADES!$H32&lt;=Z$4,ACTIVIDADES!$I32&gt;=Z$4),"·","")))</f>
        <v/>
      </c>
      <c r="AB32" s="8" t="str">
        <f>IF(OR(ACTIVIDADES!$I32="",AA$4=""),"",IF(ACTIVIDADES!$I32=AA$4,"●",IF(AND(ACTIVIDADES!$H32&lt;=AA$4,ACTIVIDADES!$I32&gt;=AA$4),"·","")))</f>
        <v/>
      </c>
      <c r="AC32" s="8" t="str">
        <f>IF(OR(ACTIVIDADES!$I32="",AB$4=""),"",IF(ACTIVIDADES!$I32=AB$4,"●",IF(AND(ACTIVIDADES!$H32&lt;=AB$4,ACTIVIDADES!$I32&gt;=AB$4),"·","")))</f>
        <v/>
      </c>
      <c r="AD32" s="8" t="str">
        <f>IF(OR(ACTIVIDADES!$I32="",AC$4=""),"",IF(ACTIVIDADES!$I32=AC$4,"●",IF(AND(ACTIVIDADES!$H32&lt;=AC$4,ACTIVIDADES!$I32&gt;=AC$4),"·","")))</f>
        <v/>
      </c>
      <c r="AE32" s="8" t="str">
        <f>IF(OR(ACTIVIDADES!$I32="",AD$4=""),"",IF(ACTIVIDADES!$I32=AD$4,"●",IF(AND(ACTIVIDADES!$H32&lt;=AD$4,ACTIVIDADES!$I32&gt;=AD$4),"·","")))</f>
        <v/>
      </c>
      <c r="AF32" s="8" t="str">
        <f>IF(OR(ACTIVIDADES!$I32="",AE$4=""),"",IF(ACTIVIDADES!$I32=AE$4,"●",IF(AND(ACTIVIDADES!$H32&lt;=AE$4,ACTIVIDADES!$I32&gt;=AE$4),"·","")))</f>
        <v/>
      </c>
      <c r="AG32" s="8" t="str">
        <f>IF(OR(ACTIVIDADES!$I32="",AF$4=""),"",IF(ACTIVIDADES!$I32=AF$4,"●",IF(AND(ACTIVIDADES!$H32&lt;=AF$4,ACTIVIDADES!$I32&gt;=AF$4),"·","")))</f>
        <v/>
      </c>
      <c r="AH32" s="8" t="str">
        <f>IF(OR(ACTIVIDADES!$I32="",AG$4=""),"",IF(ACTIVIDADES!$I32=AG$4,"●",IF(AND(ACTIVIDADES!$H32&lt;=AG$4,ACTIVIDADES!$I32&gt;=AG$4),"·","")))</f>
        <v/>
      </c>
      <c r="AI32" s="8" t="str">
        <f>IF(OR(ACTIVIDADES!$I32="",AH$4=""),"",IF(ACTIVIDADES!$I32=AH$4,"●",IF(AND(ACTIVIDADES!$H32&lt;=AH$4,ACTIVIDADES!$I32&gt;=AH$4),"·","")))</f>
        <v>●</v>
      </c>
      <c r="AJ32" t="str">
        <f>IF(ACTIVIDADES!K32="","",ACTIVIDADES!K32)</f>
        <v>Pendiente</v>
      </c>
    </row>
    <row r="33" spans="1:36">
      <c r="A33" t="str">
        <f>IF(ACTIVIDADES!A33="","",ACTIVIDADES!A33)</f>
        <v>05.01</v>
      </c>
      <c r="B33" t="str">
        <f>IF(ACTIVIDADES!B33="","",ACTIVIDADES!B33)</f>
        <v>SENAE</v>
      </c>
      <c r="C33" t="str">
        <f>IF(ACTIVIDADES!C33="","",ACTIVIDADES!C33)</f>
        <v>Informe</v>
      </c>
      <c r="D33" t="str">
        <f>IF(ACTIVIDADES!D33="","",ACTIVIDADES!D33)</f>
        <v>Solicitar y entregar informe mensual</v>
      </c>
      <c r="E33" s="8" t="str">
        <f>IF(OR(ACTIVIDADES!$I33="",D$4=""),"",IF(ACTIVIDADES!$I33=D$4,"●",IF(AND(ACTIVIDADES!$H33&lt;=D$4,ACTIVIDADES!$I33&gt;=D$4),"·","")))</f>
        <v/>
      </c>
      <c r="F33" s="8" t="str">
        <f>IF(OR(ACTIVIDADES!$I33="",E$4=""),"",IF(ACTIVIDADES!$I33=E$4,"●",IF(AND(ACTIVIDADES!$H33&lt;=E$4,ACTIVIDADES!$I33&gt;=E$4),"·","")))</f>
        <v/>
      </c>
      <c r="G33" s="8" t="str">
        <f>IF(OR(ACTIVIDADES!$I33="",F$4=""),"",IF(ACTIVIDADES!$I33=F$4,"●",IF(AND(ACTIVIDADES!$H33&lt;=F$4,ACTIVIDADES!$I33&gt;=F$4),"·","")))</f>
        <v/>
      </c>
      <c r="H33" s="8" t="str">
        <f>IF(OR(ACTIVIDADES!$I33="",G$4=""),"",IF(ACTIVIDADES!$I33=G$4,"●",IF(AND(ACTIVIDADES!$H33&lt;=G$4,ACTIVIDADES!$I33&gt;=G$4),"·","")))</f>
        <v/>
      </c>
      <c r="I33" s="8" t="str">
        <f>IF(OR(ACTIVIDADES!$I33="",H$4=""),"",IF(ACTIVIDADES!$I33=H$4,"●",IF(AND(ACTIVIDADES!$H33&lt;=H$4,ACTIVIDADES!$I33&gt;=H$4),"·","")))</f>
        <v>·</v>
      </c>
      <c r="J33" s="8" t="str">
        <f>IF(OR(ACTIVIDADES!$I33="",I$4=""),"",IF(ACTIVIDADES!$I33=I$4,"●",IF(AND(ACTIVIDADES!$H33&lt;=I$4,ACTIVIDADES!$I33&gt;=I$4),"·","")))</f>
        <v>·</v>
      </c>
      <c r="K33" s="8" t="str">
        <f>IF(OR(ACTIVIDADES!$I33="",J$4=""),"",IF(ACTIVIDADES!$I33=J$4,"●",IF(AND(ACTIVIDADES!$H33&lt;=J$4,ACTIVIDADES!$I33&gt;=J$4),"·","")))</f>
        <v>●</v>
      </c>
      <c r="L33" s="8" t="str">
        <f>IF(OR(ACTIVIDADES!$I33="",K$4=""),"",IF(ACTIVIDADES!$I33=K$4,"●",IF(AND(ACTIVIDADES!$H33&lt;=K$4,ACTIVIDADES!$I33&gt;=K$4),"·","")))</f>
        <v/>
      </c>
      <c r="M33" s="8" t="str">
        <f>IF(OR(ACTIVIDADES!$I33="",L$4=""),"",IF(ACTIVIDADES!$I33=L$4,"●",IF(AND(ACTIVIDADES!$H33&lt;=L$4,ACTIVIDADES!$I33&gt;=L$4),"·","")))</f>
        <v/>
      </c>
      <c r="N33" s="8" t="str">
        <f>IF(OR(ACTIVIDADES!$I33="",M$4=""),"",IF(ACTIVIDADES!$I33=M$4,"●",IF(AND(ACTIVIDADES!$H33&lt;=M$4,ACTIVIDADES!$I33&gt;=M$4),"·","")))</f>
        <v/>
      </c>
      <c r="O33" s="8" t="str">
        <f>IF(OR(ACTIVIDADES!$I33="",N$4=""),"",IF(ACTIVIDADES!$I33=N$4,"●",IF(AND(ACTIVIDADES!$H33&lt;=N$4,ACTIVIDADES!$I33&gt;=N$4),"·","")))</f>
        <v/>
      </c>
      <c r="P33" s="8" t="str">
        <f>IF(OR(ACTIVIDADES!$I33="",O$4=""),"",IF(ACTIVIDADES!$I33=O$4,"●",IF(AND(ACTIVIDADES!$H33&lt;=O$4,ACTIVIDADES!$I33&gt;=O$4),"·","")))</f>
        <v/>
      </c>
      <c r="Q33" s="8" t="str">
        <f>IF(OR(ACTIVIDADES!$I33="",P$4=""),"",IF(ACTIVIDADES!$I33=P$4,"●",IF(AND(ACTIVIDADES!$H33&lt;=P$4,ACTIVIDADES!$I33&gt;=P$4),"·","")))</f>
        <v/>
      </c>
      <c r="R33" s="8" t="str">
        <f>IF(OR(ACTIVIDADES!$I33="",Q$4=""),"",IF(ACTIVIDADES!$I33=Q$4,"●",IF(AND(ACTIVIDADES!$H33&lt;=Q$4,ACTIVIDADES!$I33&gt;=Q$4),"·","")))</f>
        <v/>
      </c>
      <c r="S33" s="8" t="str">
        <f>IF(OR(ACTIVIDADES!$I33="",R$4=""),"",IF(ACTIVIDADES!$I33=R$4,"●",IF(AND(ACTIVIDADES!$H33&lt;=R$4,ACTIVIDADES!$I33&gt;=R$4),"·","")))</f>
        <v/>
      </c>
      <c r="T33" s="8" t="str">
        <f>IF(OR(ACTIVIDADES!$I33="",S$4=""),"",IF(ACTIVIDADES!$I33=S$4,"●",IF(AND(ACTIVIDADES!$H33&lt;=S$4,ACTIVIDADES!$I33&gt;=S$4),"·","")))</f>
        <v/>
      </c>
      <c r="U33" s="8" t="str">
        <f>IF(OR(ACTIVIDADES!$I33="",T$4=""),"",IF(ACTIVIDADES!$I33=T$4,"●",IF(AND(ACTIVIDADES!$H33&lt;=T$4,ACTIVIDADES!$I33&gt;=T$4),"·","")))</f>
        <v/>
      </c>
      <c r="V33" s="8" t="str">
        <f>IF(OR(ACTIVIDADES!$I33="",U$4=""),"",IF(ACTIVIDADES!$I33=U$4,"●",IF(AND(ACTIVIDADES!$H33&lt;=U$4,ACTIVIDADES!$I33&gt;=U$4),"·","")))</f>
        <v/>
      </c>
      <c r="W33" s="8" t="str">
        <f>IF(OR(ACTIVIDADES!$I33="",V$4=""),"",IF(ACTIVIDADES!$I33=V$4,"●",IF(AND(ACTIVIDADES!$H33&lt;=V$4,ACTIVIDADES!$I33&gt;=V$4),"·","")))</f>
        <v/>
      </c>
      <c r="X33" s="8" t="str">
        <f>IF(OR(ACTIVIDADES!$I33="",W$4=""),"",IF(ACTIVIDADES!$I33=W$4,"●",IF(AND(ACTIVIDADES!$H33&lt;=W$4,ACTIVIDADES!$I33&gt;=W$4),"·","")))</f>
        <v/>
      </c>
      <c r="Y33" s="8" t="str">
        <f>IF(OR(ACTIVIDADES!$I33="",X$4=""),"",IF(ACTIVIDADES!$I33=X$4,"●",IF(AND(ACTIVIDADES!$H33&lt;=X$4,ACTIVIDADES!$I33&gt;=X$4),"·","")))</f>
        <v/>
      </c>
      <c r="Z33" s="8" t="str">
        <f>IF(OR(ACTIVIDADES!$I33="",Y$4=""),"",IF(ACTIVIDADES!$I33=Y$4,"●",IF(AND(ACTIVIDADES!$H33&lt;=Y$4,ACTIVIDADES!$I33&gt;=Y$4),"·","")))</f>
        <v/>
      </c>
      <c r="AA33" s="8" t="str">
        <f>IF(OR(ACTIVIDADES!$I33="",Z$4=""),"",IF(ACTIVIDADES!$I33=Z$4,"●",IF(AND(ACTIVIDADES!$H33&lt;=Z$4,ACTIVIDADES!$I33&gt;=Z$4),"·","")))</f>
        <v/>
      </c>
      <c r="AB33" s="8" t="str">
        <f>IF(OR(ACTIVIDADES!$I33="",AA$4=""),"",IF(ACTIVIDADES!$I33=AA$4,"●",IF(AND(ACTIVIDADES!$H33&lt;=AA$4,ACTIVIDADES!$I33&gt;=AA$4),"·","")))</f>
        <v/>
      </c>
      <c r="AC33" s="8" t="str">
        <f>IF(OR(ACTIVIDADES!$I33="",AB$4=""),"",IF(ACTIVIDADES!$I33=AB$4,"●",IF(AND(ACTIVIDADES!$H33&lt;=AB$4,ACTIVIDADES!$I33&gt;=AB$4),"·","")))</f>
        <v/>
      </c>
      <c r="AD33" s="8" t="str">
        <f>IF(OR(ACTIVIDADES!$I33="",AC$4=""),"",IF(ACTIVIDADES!$I33=AC$4,"●",IF(AND(ACTIVIDADES!$H33&lt;=AC$4,ACTIVIDADES!$I33&gt;=AC$4),"·","")))</f>
        <v/>
      </c>
      <c r="AE33" s="8" t="str">
        <f>IF(OR(ACTIVIDADES!$I33="",AD$4=""),"",IF(ACTIVIDADES!$I33=AD$4,"●",IF(AND(ACTIVIDADES!$H33&lt;=AD$4,ACTIVIDADES!$I33&gt;=AD$4),"·","")))</f>
        <v/>
      </c>
      <c r="AF33" s="8" t="str">
        <f>IF(OR(ACTIVIDADES!$I33="",AE$4=""),"",IF(ACTIVIDADES!$I33=AE$4,"●",IF(AND(ACTIVIDADES!$H33&lt;=AE$4,ACTIVIDADES!$I33&gt;=AE$4),"·","")))</f>
        <v/>
      </c>
      <c r="AG33" s="8" t="str">
        <f>IF(OR(ACTIVIDADES!$I33="",AF$4=""),"",IF(ACTIVIDADES!$I33=AF$4,"●",IF(AND(ACTIVIDADES!$H33&lt;=AF$4,ACTIVIDADES!$I33&gt;=AF$4),"·","")))</f>
        <v/>
      </c>
      <c r="AH33" s="8" t="str">
        <f>IF(OR(ACTIVIDADES!$I33="",AG$4=""),"",IF(ACTIVIDADES!$I33=AG$4,"●",IF(AND(ACTIVIDADES!$H33&lt;=AG$4,ACTIVIDADES!$I33&gt;=AG$4),"·","")))</f>
        <v/>
      </c>
      <c r="AI33" s="8" t="str">
        <f>IF(OR(ACTIVIDADES!$I33="",AH$4=""),"",IF(ACTIVIDADES!$I33=AH$4,"●",IF(AND(ACTIVIDADES!$H33&lt;=AH$4,ACTIVIDADES!$I33&gt;=AH$4),"·","")))</f>
        <v/>
      </c>
      <c r="AJ33" t="str">
        <f>IF(ACTIVIDADES!K33="","",ACTIVIDADES!K33)</f>
        <v>Cerrado</v>
      </c>
    </row>
    <row r="34" spans="1:36">
      <c r="A34" t="str">
        <f>IF(ACTIVIDADES!A34="","",ACTIVIDADES!A34)</f>
        <v>05.02</v>
      </c>
      <c r="B34" t="str">
        <f>IF(ACTIVIDADES!B34="","",ACTIVIDADES!B34)</f>
        <v>SENAE</v>
      </c>
      <c r="C34" t="str">
        <f>IF(ACTIVIDADES!C34="","",ACTIVIDADES!C34)</f>
        <v>Abastecimiento</v>
      </c>
      <c r="D34" t="str">
        <f>IF(ACTIVIDADES!D34="","",ACTIVIDADES!D34)</f>
        <v>Solicitar requerimientos de insumos</v>
      </c>
      <c r="E34" s="8" t="str">
        <f>IF(OR(ACTIVIDADES!$I34="",D$4=""),"",IF(ACTIVIDADES!$I34=D$4,"●",IF(AND(ACTIVIDADES!$H34&lt;=D$4,ACTIVIDADES!$I34&gt;=D$4),"·","")))</f>
        <v/>
      </c>
      <c r="F34" s="8" t="str">
        <f>IF(OR(ACTIVIDADES!$I34="",E$4=""),"",IF(ACTIVIDADES!$I34=E$4,"●",IF(AND(ACTIVIDADES!$H34&lt;=E$4,ACTIVIDADES!$I34&gt;=E$4),"·","")))</f>
        <v/>
      </c>
      <c r="G34" s="8" t="str">
        <f>IF(OR(ACTIVIDADES!$I34="",F$4=""),"",IF(ACTIVIDADES!$I34=F$4,"●",IF(AND(ACTIVIDADES!$H34&lt;=F$4,ACTIVIDADES!$I34&gt;=F$4),"·","")))</f>
        <v/>
      </c>
      <c r="H34" s="8" t="str">
        <f>IF(OR(ACTIVIDADES!$I34="",G$4=""),"",IF(ACTIVIDADES!$I34=G$4,"●",IF(AND(ACTIVIDADES!$H34&lt;=G$4,ACTIVIDADES!$I34&gt;=G$4),"·","")))</f>
        <v/>
      </c>
      <c r="I34" s="8" t="str">
        <f>IF(OR(ACTIVIDADES!$I34="",H$4=""),"",IF(ACTIVIDADES!$I34=H$4,"●",IF(AND(ACTIVIDADES!$H34&lt;=H$4,ACTIVIDADES!$I34&gt;=H$4),"·","")))</f>
        <v/>
      </c>
      <c r="J34" s="8" t="str">
        <f>IF(OR(ACTIVIDADES!$I34="",I$4=""),"",IF(ACTIVIDADES!$I34=I$4,"●",IF(AND(ACTIVIDADES!$H34&lt;=I$4,ACTIVIDADES!$I34&gt;=I$4),"·","")))</f>
        <v/>
      </c>
      <c r="K34" s="8" t="str">
        <f>IF(OR(ACTIVIDADES!$I34="",J$4=""),"",IF(ACTIVIDADES!$I34=J$4,"●",IF(AND(ACTIVIDADES!$H34&lt;=J$4,ACTIVIDADES!$I34&gt;=J$4),"·","")))</f>
        <v/>
      </c>
      <c r="L34" s="8" t="str">
        <f>IF(OR(ACTIVIDADES!$I34="",K$4=""),"",IF(ACTIVIDADES!$I34=K$4,"●",IF(AND(ACTIVIDADES!$H34&lt;=K$4,ACTIVIDADES!$I34&gt;=K$4),"·","")))</f>
        <v/>
      </c>
      <c r="M34" s="8" t="str">
        <f>IF(OR(ACTIVIDADES!$I34="",L$4=""),"",IF(ACTIVIDADES!$I34=L$4,"●",IF(AND(ACTIVIDADES!$H34&lt;=L$4,ACTIVIDADES!$I34&gt;=L$4),"·","")))</f>
        <v/>
      </c>
      <c r="N34" s="8" t="str">
        <f>IF(OR(ACTIVIDADES!$I34="",M$4=""),"",IF(ACTIVIDADES!$I34=M$4,"●",IF(AND(ACTIVIDADES!$H34&lt;=M$4,ACTIVIDADES!$I34&gt;=M$4),"·","")))</f>
        <v>·</v>
      </c>
      <c r="O34" s="8" t="str">
        <f>IF(OR(ACTIVIDADES!$I34="",N$4=""),"",IF(ACTIVIDADES!$I34=N$4,"●",IF(AND(ACTIVIDADES!$H34&lt;=N$4,ACTIVIDADES!$I34&gt;=N$4),"·","")))</f>
        <v>·</v>
      </c>
      <c r="P34" s="8" t="str">
        <f>IF(OR(ACTIVIDADES!$I34="",O$4=""),"",IF(ACTIVIDADES!$I34=O$4,"●",IF(AND(ACTIVIDADES!$H34&lt;=O$4,ACTIVIDADES!$I34&gt;=O$4),"·","")))</f>
        <v>●</v>
      </c>
      <c r="Q34" s="8" t="str">
        <f>IF(OR(ACTIVIDADES!$I34="",P$4=""),"",IF(ACTIVIDADES!$I34=P$4,"●",IF(AND(ACTIVIDADES!$H34&lt;=P$4,ACTIVIDADES!$I34&gt;=P$4),"·","")))</f>
        <v/>
      </c>
      <c r="R34" s="8" t="str">
        <f>IF(OR(ACTIVIDADES!$I34="",Q$4=""),"",IF(ACTIVIDADES!$I34=Q$4,"●",IF(AND(ACTIVIDADES!$H34&lt;=Q$4,ACTIVIDADES!$I34&gt;=Q$4),"·","")))</f>
        <v/>
      </c>
      <c r="S34" s="8" t="str">
        <f>IF(OR(ACTIVIDADES!$I34="",R$4=""),"",IF(ACTIVIDADES!$I34=R$4,"●",IF(AND(ACTIVIDADES!$H34&lt;=R$4,ACTIVIDADES!$I34&gt;=R$4),"·","")))</f>
        <v/>
      </c>
      <c r="T34" s="8" t="str">
        <f>IF(OR(ACTIVIDADES!$I34="",S$4=""),"",IF(ACTIVIDADES!$I34=S$4,"●",IF(AND(ACTIVIDADES!$H34&lt;=S$4,ACTIVIDADES!$I34&gt;=S$4),"·","")))</f>
        <v/>
      </c>
      <c r="U34" s="8" t="str">
        <f>IF(OR(ACTIVIDADES!$I34="",T$4=""),"",IF(ACTIVIDADES!$I34=T$4,"●",IF(AND(ACTIVIDADES!$H34&lt;=T$4,ACTIVIDADES!$I34&gt;=T$4),"·","")))</f>
        <v/>
      </c>
      <c r="V34" s="8" t="str">
        <f>IF(OR(ACTIVIDADES!$I34="",U$4=""),"",IF(ACTIVIDADES!$I34=U$4,"●",IF(AND(ACTIVIDADES!$H34&lt;=U$4,ACTIVIDADES!$I34&gt;=U$4),"·","")))</f>
        <v/>
      </c>
      <c r="W34" s="8" t="str">
        <f>IF(OR(ACTIVIDADES!$I34="",V$4=""),"",IF(ACTIVIDADES!$I34=V$4,"●",IF(AND(ACTIVIDADES!$H34&lt;=V$4,ACTIVIDADES!$I34&gt;=V$4),"·","")))</f>
        <v/>
      </c>
      <c r="X34" s="8" t="str">
        <f>IF(OR(ACTIVIDADES!$I34="",W$4=""),"",IF(ACTIVIDADES!$I34=W$4,"●",IF(AND(ACTIVIDADES!$H34&lt;=W$4,ACTIVIDADES!$I34&gt;=W$4),"·","")))</f>
        <v/>
      </c>
      <c r="Y34" s="8" t="str">
        <f>IF(OR(ACTIVIDADES!$I34="",X$4=""),"",IF(ACTIVIDADES!$I34=X$4,"●",IF(AND(ACTIVIDADES!$H34&lt;=X$4,ACTIVIDADES!$I34&gt;=X$4),"·","")))</f>
        <v/>
      </c>
      <c r="Z34" s="8" t="str">
        <f>IF(OR(ACTIVIDADES!$I34="",Y$4=""),"",IF(ACTIVIDADES!$I34=Y$4,"●",IF(AND(ACTIVIDADES!$H34&lt;=Y$4,ACTIVIDADES!$I34&gt;=Y$4),"·","")))</f>
        <v/>
      </c>
      <c r="AA34" s="8" t="str">
        <f>IF(OR(ACTIVIDADES!$I34="",Z$4=""),"",IF(ACTIVIDADES!$I34=Z$4,"●",IF(AND(ACTIVIDADES!$H34&lt;=Z$4,ACTIVIDADES!$I34&gt;=Z$4),"·","")))</f>
        <v/>
      </c>
      <c r="AB34" s="8" t="str">
        <f>IF(OR(ACTIVIDADES!$I34="",AA$4=""),"",IF(ACTIVIDADES!$I34=AA$4,"●",IF(AND(ACTIVIDADES!$H34&lt;=AA$4,ACTIVIDADES!$I34&gt;=AA$4),"·","")))</f>
        <v/>
      </c>
      <c r="AC34" s="8" t="str">
        <f>IF(OR(ACTIVIDADES!$I34="",AB$4=""),"",IF(ACTIVIDADES!$I34=AB$4,"●",IF(AND(ACTIVIDADES!$H34&lt;=AB$4,ACTIVIDADES!$I34&gt;=AB$4),"·","")))</f>
        <v/>
      </c>
      <c r="AD34" s="8" t="str">
        <f>IF(OR(ACTIVIDADES!$I34="",AC$4=""),"",IF(ACTIVIDADES!$I34=AC$4,"●",IF(AND(ACTIVIDADES!$H34&lt;=AC$4,ACTIVIDADES!$I34&gt;=AC$4),"·","")))</f>
        <v/>
      </c>
      <c r="AE34" s="8" t="str">
        <f>IF(OR(ACTIVIDADES!$I34="",AD$4=""),"",IF(ACTIVIDADES!$I34=AD$4,"●",IF(AND(ACTIVIDADES!$H34&lt;=AD$4,ACTIVIDADES!$I34&gt;=AD$4),"·","")))</f>
        <v/>
      </c>
      <c r="AF34" s="8" t="str">
        <f>IF(OR(ACTIVIDADES!$I34="",AE$4=""),"",IF(ACTIVIDADES!$I34=AE$4,"●",IF(AND(ACTIVIDADES!$H34&lt;=AE$4,ACTIVIDADES!$I34&gt;=AE$4),"·","")))</f>
        <v/>
      </c>
      <c r="AG34" s="8" t="str">
        <f>IF(OR(ACTIVIDADES!$I34="",AF$4=""),"",IF(ACTIVIDADES!$I34=AF$4,"●",IF(AND(ACTIVIDADES!$H34&lt;=AF$4,ACTIVIDADES!$I34&gt;=AF$4),"·","")))</f>
        <v/>
      </c>
      <c r="AH34" s="8" t="str">
        <f>IF(OR(ACTIVIDADES!$I34="",AG$4=""),"",IF(ACTIVIDADES!$I34=AG$4,"●",IF(AND(ACTIVIDADES!$H34&lt;=AG$4,ACTIVIDADES!$I34&gt;=AG$4),"·","")))</f>
        <v/>
      </c>
      <c r="AI34" s="8" t="str">
        <f>IF(OR(ACTIVIDADES!$I34="",AH$4=""),"",IF(ACTIVIDADES!$I34=AH$4,"●",IF(AND(ACTIVIDADES!$H34&lt;=AH$4,ACTIVIDADES!$I34&gt;=AH$4),"·","")))</f>
        <v/>
      </c>
      <c r="AJ34" t="str">
        <f>IF(ACTIVIDADES!K34="","",ACTIVIDADES!K34)</f>
        <v>Pendiente</v>
      </c>
    </row>
    <row r="35" spans="1:36">
      <c r="A35" t="str">
        <f>IF(ACTIVIDADES!A35="","",ACTIVIDADES!A35)</f>
        <v>05.03</v>
      </c>
      <c r="B35" t="str">
        <f>IF(ACTIVIDADES!B35="","",ACTIVIDADES!B35)</f>
        <v>SENAE</v>
      </c>
      <c r="C35" t="str">
        <f>IF(ACTIVIDADES!C35="","",ACTIVIDADES!C35)</f>
        <v>Corte</v>
      </c>
      <c r="D35" t="str">
        <f>IF(ACTIVIDADES!D35="","",ACTIVIDADES!D35)</f>
        <v>Preparar y entregar corte del día 5</v>
      </c>
      <c r="E35" s="8" t="str">
        <f>IF(OR(ACTIVIDADES!$I35="",D$4=""),"",IF(ACTIVIDADES!$I35=D$4,"●",IF(AND(ACTIVIDADES!$H35&lt;=D$4,ACTIVIDADES!$I35&gt;=D$4),"·","")))</f>
        <v/>
      </c>
      <c r="F35" s="8" t="str">
        <f>IF(OR(ACTIVIDADES!$I35="",E$4=""),"",IF(ACTIVIDADES!$I35=E$4,"●",IF(AND(ACTIVIDADES!$H35&lt;=E$4,ACTIVIDADES!$I35&gt;=E$4),"·","")))</f>
        <v/>
      </c>
      <c r="G35" s="8" t="str">
        <f>IF(OR(ACTIVIDADES!$I35="",F$4=""),"",IF(ACTIVIDADES!$I35=F$4,"●",IF(AND(ACTIVIDADES!$H35&lt;=F$4,ACTIVIDADES!$I35&gt;=F$4),"·","")))</f>
        <v/>
      </c>
      <c r="H35" s="8" t="str">
        <f>IF(OR(ACTIVIDADES!$I35="",G$4=""),"",IF(ACTIVIDADES!$I35=G$4,"●",IF(AND(ACTIVIDADES!$H35&lt;=G$4,ACTIVIDADES!$I35&gt;=G$4),"·","")))</f>
        <v/>
      </c>
      <c r="I35" s="8" t="str">
        <f>IF(OR(ACTIVIDADES!$I35="",H$4=""),"",IF(ACTIVIDADES!$I35=H$4,"●",IF(AND(ACTIVIDADES!$H35&lt;=H$4,ACTIVIDADES!$I35&gt;=H$4),"·","")))</f>
        <v/>
      </c>
      <c r="J35" s="8" t="str">
        <f>IF(OR(ACTIVIDADES!$I35="",I$4=""),"",IF(ACTIVIDADES!$I35=I$4,"●",IF(AND(ACTIVIDADES!$H35&lt;=I$4,ACTIVIDADES!$I35&gt;=I$4),"·","")))</f>
        <v>●</v>
      </c>
      <c r="K35" s="8" t="str">
        <f>IF(OR(ACTIVIDADES!$I35="",J$4=""),"",IF(ACTIVIDADES!$I35=J$4,"●",IF(AND(ACTIVIDADES!$H35&lt;=J$4,ACTIVIDADES!$I35&gt;=J$4),"·","")))</f>
        <v/>
      </c>
      <c r="L35" s="8" t="str">
        <f>IF(OR(ACTIVIDADES!$I35="",K$4=""),"",IF(ACTIVIDADES!$I35=K$4,"●",IF(AND(ACTIVIDADES!$H35&lt;=K$4,ACTIVIDADES!$I35&gt;=K$4),"·","")))</f>
        <v/>
      </c>
      <c r="M35" s="8" t="str">
        <f>IF(OR(ACTIVIDADES!$I35="",L$4=""),"",IF(ACTIVIDADES!$I35=L$4,"●",IF(AND(ACTIVIDADES!$H35&lt;=L$4,ACTIVIDADES!$I35&gt;=L$4),"·","")))</f>
        <v/>
      </c>
      <c r="N35" s="8" t="str">
        <f>IF(OR(ACTIVIDADES!$I35="",M$4=""),"",IF(ACTIVIDADES!$I35=M$4,"●",IF(AND(ACTIVIDADES!$H35&lt;=M$4,ACTIVIDADES!$I35&gt;=M$4),"·","")))</f>
        <v/>
      </c>
      <c r="O35" s="8" t="str">
        <f>IF(OR(ACTIVIDADES!$I35="",N$4=""),"",IF(ACTIVIDADES!$I35=N$4,"●",IF(AND(ACTIVIDADES!$H35&lt;=N$4,ACTIVIDADES!$I35&gt;=N$4),"·","")))</f>
        <v/>
      </c>
      <c r="P35" s="8" t="str">
        <f>IF(OR(ACTIVIDADES!$I35="",O$4=""),"",IF(ACTIVIDADES!$I35=O$4,"●",IF(AND(ACTIVIDADES!$H35&lt;=O$4,ACTIVIDADES!$I35&gt;=O$4),"·","")))</f>
        <v/>
      </c>
      <c r="Q35" s="8" t="str">
        <f>IF(OR(ACTIVIDADES!$I35="",P$4=""),"",IF(ACTIVIDADES!$I35=P$4,"●",IF(AND(ACTIVIDADES!$H35&lt;=P$4,ACTIVIDADES!$I35&gt;=P$4),"·","")))</f>
        <v/>
      </c>
      <c r="R35" s="8" t="str">
        <f>IF(OR(ACTIVIDADES!$I35="",Q$4=""),"",IF(ACTIVIDADES!$I35=Q$4,"●",IF(AND(ACTIVIDADES!$H35&lt;=Q$4,ACTIVIDADES!$I35&gt;=Q$4),"·","")))</f>
        <v/>
      </c>
      <c r="S35" s="8" t="str">
        <f>IF(OR(ACTIVIDADES!$I35="",R$4=""),"",IF(ACTIVIDADES!$I35=R$4,"●",IF(AND(ACTIVIDADES!$H35&lt;=R$4,ACTIVIDADES!$I35&gt;=R$4),"·","")))</f>
        <v/>
      </c>
      <c r="T35" s="8" t="str">
        <f>IF(OR(ACTIVIDADES!$I35="",S$4=""),"",IF(ACTIVIDADES!$I35=S$4,"●",IF(AND(ACTIVIDADES!$H35&lt;=S$4,ACTIVIDADES!$I35&gt;=S$4),"·","")))</f>
        <v/>
      </c>
      <c r="U35" s="8" t="str">
        <f>IF(OR(ACTIVIDADES!$I35="",T$4=""),"",IF(ACTIVIDADES!$I35=T$4,"●",IF(AND(ACTIVIDADES!$H35&lt;=T$4,ACTIVIDADES!$I35&gt;=T$4),"·","")))</f>
        <v/>
      </c>
      <c r="V35" s="8" t="str">
        <f>IF(OR(ACTIVIDADES!$I35="",U$4=""),"",IF(ACTIVIDADES!$I35=U$4,"●",IF(AND(ACTIVIDADES!$H35&lt;=U$4,ACTIVIDADES!$I35&gt;=U$4),"·","")))</f>
        <v/>
      </c>
      <c r="W35" s="8" t="str">
        <f>IF(OR(ACTIVIDADES!$I35="",V$4=""),"",IF(ACTIVIDADES!$I35=V$4,"●",IF(AND(ACTIVIDADES!$H35&lt;=V$4,ACTIVIDADES!$I35&gt;=V$4),"·","")))</f>
        <v/>
      </c>
      <c r="X35" s="8" t="str">
        <f>IF(OR(ACTIVIDADES!$I35="",W$4=""),"",IF(ACTIVIDADES!$I35=W$4,"●",IF(AND(ACTIVIDADES!$H35&lt;=W$4,ACTIVIDADES!$I35&gt;=W$4),"·","")))</f>
        <v/>
      </c>
      <c r="Y35" s="8" t="str">
        <f>IF(OR(ACTIVIDADES!$I35="",X$4=""),"",IF(ACTIVIDADES!$I35=X$4,"●",IF(AND(ACTIVIDADES!$H35&lt;=X$4,ACTIVIDADES!$I35&gt;=X$4),"·","")))</f>
        <v/>
      </c>
      <c r="Z35" s="8" t="str">
        <f>IF(OR(ACTIVIDADES!$I35="",Y$4=""),"",IF(ACTIVIDADES!$I35=Y$4,"●",IF(AND(ACTIVIDADES!$H35&lt;=Y$4,ACTIVIDADES!$I35&gt;=Y$4),"·","")))</f>
        <v/>
      </c>
      <c r="AA35" s="8" t="str">
        <f>IF(OR(ACTIVIDADES!$I35="",Z$4=""),"",IF(ACTIVIDADES!$I35=Z$4,"●",IF(AND(ACTIVIDADES!$H35&lt;=Z$4,ACTIVIDADES!$I35&gt;=Z$4),"·","")))</f>
        <v/>
      </c>
      <c r="AB35" s="8" t="str">
        <f>IF(OR(ACTIVIDADES!$I35="",AA$4=""),"",IF(ACTIVIDADES!$I35=AA$4,"●",IF(AND(ACTIVIDADES!$H35&lt;=AA$4,ACTIVIDADES!$I35&gt;=AA$4),"·","")))</f>
        <v/>
      </c>
      <c r="AC35" s="8" t="str">
        <f>IF(OR(ACTIVIDADES!$I35="",AB$4=""),"",IF(ACTIVIDADES!$I35=AB$4,"●",IF(AND(ACTIVIDADES!$H35&lt;=AB$4,ACTIVIDADES!$I35&gt;=AB$4),"·","")))</f>
        <v/>
      </c>
      <c r="AD35" s="8" t="str">
        <f>IF(OR(ACTIVIDADES!$I35="",AC$4=""),"",IF(ACTIVIDADES!$I35=AC$4,"●",IF(AND(ACTIVIDADES!$H35&lt;=AC$4,ACTIVIDADES!$I35&gt;=AC$4),"·","")))</f>
        <v/>
      </c>
      <c r="AE35" s="8" t="str">
        <f>IF(OR(ACTIVIDADES!$I35="",AD$4=""),"",IF(ACTIVIDADES!$I35=AD$4,"●",IF(AND(ACTIVIDADES!$H35&lt;=AD$4,ACTIVIDADES!$I35&gt;=AD$4),"·","")))</f>
        <v/>
      </c>
      <c r="AF35" s="8" t="str">
        <f>IF(OR(ACTIVIDADES!$I35="",AE$4=""),"",IF(ACTIVIDADES!$I35=AE$4,"●",IF(AND(ACTIVIDADES!$H35&lt;=AE$4,ACTIVIDADES!$I35&gt;=AE$4),"·","")))</f>
        <v/>
      </c>
      <c r="AG35" s="8" t="str">
        <f>IF(OR(ACTIVIDADES!$I35="",AF$4=""),"",IF(ACTIVIDADES!$I35=AF$4,"●",IF(AND(ACTIVIDADES!$H35&lt;=AF$4,ACTIVIDADES!$I35&gt;=AF$4),"·","")))</f>
        <v/>
      </c>
      <c r="AH35" s="8" t="str">
        <f>IF(OR(ACTIVIDADES!$I35="",AG$4=""),"",IF(ACTIVIDADES!$I35=AG$4,"●",IF(AND(ACTIVIDADES!$H35&lt;=AG$4,ACTIVIDADES!$I35&gt;=AG$4),"·","")))</f>
        <v/>
      </c>
      <c r="AI35" s="8" t="str">
        <f>IF(OR(ACTIVIDADES!$I35="",AH$4=""),"",IF(ACTIVIDADES!$I35=AH$4,"●",IF(AND(ACTIVIDADES!$H35&lt;=AH$4,ACTIVIDADES!$I35&gt;=AH$4),"·","")))</f>
        <v/>
      </c>
      <c r="AJ35" t="str">
        <f>IF(ACTIVIDADES!K35="","",ACTIVIDADES!K35)</f>
        <v>Cerrado</v>
      </c>
    </row>
    <row r="36" spans="1:36">
      <c r="A36" t="str">
        <f>IF(ACTIVIDADES!A36="","",ACTIVIDADES!A36)</f>
        <v>05.04</v>
      </c>
      <c r="B36" t="str">
        <f>IF(ACTIVIDADES!B36="","",ACTIVIDADES!B36)</f>
        <v>SENAE</v>
      </c>
      <c r="C36" t="str">
        <f>IF(ACTIVIDADES!C36="","",ACTIVIDADES!C36)</f>
        <v>Corte</v>
      </c>
      <c r="D36" t="str">
        <f>IF(ACTIVIDADES!D36="","",ACTIVIDADES!D36)</f>
        <v>Preparar y entregar corte del día 10</v>
      </c>
      <c r="E36" s="8" t="str">
        <f>IF(OR(ACTIVIDADES!$I36="",D$4=""),"",IF(ACTIVIDADES!$I36=D$4,"●",IF(AND(ACTIVIDADES!$H36&lt;=D$4,ACTIVIDADES!$I36&gt;=D$4),"·","")))</f>
        <v/>
      </c>
      <c r="F36" s="8" t="str">
        <f>IF(OR(ACTIVIDADES!$I36="",E$4=""),"",IF(ACTIVIDADES!$I36=E$4,"●",IF(AND(ACTIVIDADES!$H36&lt;=E$4,ACTIVIDADES!$I36&gt;=E$4),"·","")))</f>
        <v/>
      </c>
      <c r="G36" s="8" t="str">
        <f>IF(OR(ACTIVIDADES!$I36="",F$4=""),"",IF(ACTIVIDADES!$I36=F$4,"●",IF(AND(ACTIVIDADES!$H36&lt;=F$4,ACTIVIDADES!$I36&gt;=F$4),"·","")))</f>
        <v/>
      </c>
      <c r="H36" s="8" t="str">
        <f>IF(OR(ACTIVIDADES!$I36="",G$4=""),"",IF(ACTIVIDADES!$I36=G$4,"●",IF(AND(ACTIVIDADES!$H36&lt;=G$4,ACTIVIDADES!$I36&gt;=G$4),"·","")))</f>
        <v/>
      </c>
      <c r="I36" s="8" t="str">
        <f>IF(OR(ACTIVIDADES!$I36="",H$4=""),"",IF(ACTIVIDADES!$I36=H$4,"●",IF(AND(ACTIVIDADES!$H36&lt;=H$4,ACTIVIDADES!$I36&gt;=H$4),"·","")))</f>
        <v/>
      </c>
      <c r="J36" s="8" t="str">
        <f>IF(OR(ACTIVIDADES!$I36="",I$4=""),"",IF(ACTIVIDADES!$I36=I$4,"●",IF(AND(ACTIVIDADES!$H36&lt;=I$4,ACTIVIDADES!$I36&gt;=I$4),"·","")))</f>
        <v/>
      </c>
      <c r="K36" s="8" t="str">
        <f>IF(OR(ACTIVIDADES!$I36="",J$4=""),"",IF(ACTIVIDADES!$I36=J$4,"●",IF(AND(ACTIVIDADES!$H36&lt;=J$4,ACTIVIDADES!$I36&gt;=J$4),"·","")))</f>
        <v/>
      </c>
      <c r="L36" s="8" t="str">
        <f>IF(OR(ACTIVIDADES!$I36="",K$4=""),"",IF(ACTIVIDADES!$I36=K$4,"●",IF(AND(ACTIVIDADES!$H36&lt;=K$4,ACTIVIDADES!$I36&gt;=K$4),"·","")))</f>
        <v/>
      </c>
      <c r="M36" s="8" t="str">
        <f>IF(OR(ACTIVIDADES!$I36="",L$4=""),"",IF(ACTIVIDADES!$I36=L$4,"●",IF(AND(ACTIVIDADES!$H36&lt;=L$4,ACTIVIDADES!$I36&gt;=L$4),"·","")))</f>
        <v/>
      </c>
      <c r="N36" s="8" t="str">
        <f>IF(OR(ACTIVIDADES!$I36="",M$4=""),"",IF(ACTIVIDADES!$I36=M$4,"●",IF(AND(ACTIVIDADES!$H36&lt;=M$4,ACTIVIDADES!$I36&gt;=M$4),"·","")))</f>
        <v/>
      </c>
      <c r="O36" s="8" t="str">
        <f>IF(OR(ACTIVIDADES!$I36="",N$4=""),"",IF(ACTIVIDADES!$I36=N$4,"●",IF(AND(ACTIVIDADES!$H36&lt;=N$4,ACTIVIDADES!$I36&gt;=N$4),"·","")))</f>
        <v>●</v>
      </c>
      <c r="P36" s="8" t="str">
        <f>IF(OR(ACTIVIDADES!$I36="",O$4=""),"",IF(ACTIVIDADES!$I36=O$4,"●",IF(AND(ACTIVIDADES!$H36&lt;=O$4,ACTIVIDADES!$I36&gt;=O$4),"·","")))</f>
        <v/>
      </c>
      <c r="Q36" s="8" t="str">
        <f>IF(OR(ACTIVIDADES!$I36="",P$4=""),"",IF(ACTIVIDADES!$I36=P$4,"●",IF(AND(ACTIVIDADES!$H36&lt;=P$4,ACTIVIDADES!$I36&gt;=P$4),"·","")))</f>
        <v/>
      </c>
      <c r="R36" s="8" t="str">
        <f>IF(OR(ACTIVIDADES!$I36="",Q$4=""),"",IF(ACTIVIDADES!$I36=Q$4,"●",IF(AND(ACTIVIDADES!$H36&lt;=Q$4,ACTIVIDADES!$I36&gt;=Q$4),"·","")))</f>
        <v/>
      </c>
      <c r="S36" s="8" t="str">
        <f>IF(OR(ACTIVIDADES!$I36="",R$4=""),"",IF(ACTIVIDADES!$I36=R$4,"●",IF(AND(ACTIVIDADES!$H36&lt;=R$4,ACTIVIDADES!$I36&gt;=R$4),"·","")))</f>
        <v/>
      </c>
      <c r="T36" s="8" t="str">
        <f>IF(OR(ACTIVIDADES!$I36="",S$4=""),"",IF(ACTIVIDADES!$I36=S$4,"●",IF(AND(ACTIVIDADES!$H36&lt;=S$4,ACTIVIDADES!$I36&gt;=S$4),"·","")))</f>
        <v/>
      </c>
      <c r="U36" s="8" t="str">
        <f>IF(OR(ACTIVIDADES!$I36="",T$4=""),"",IF(ACTIVIDADES!$I36=T$4,"●",IF(AND(ACTIVIDADES!$H36&lt;=T$4,ACTIVIDADES!$I36&gt;=T$4),"·","")))</f>
        <v/>
      </c>
      <c r="V36" s="8" t="str">
        <f>IF(OR(ACTIVIDADES!$I36="",U$4=""),"",IF(ACTIVIDADES!$I36=U$4,"●",IF(AND(ACTIVIDADES!$H36&lt;=U$4,ACTIVIDADES!$I36&gt;=U$4),"·","")))</f>
        <v/>
      </c>
      <c r="W36" s="8" t="str">
        <f>IF(OR(ACTIVIDADES!$I36="",V$4=""),"",IF(ACTIVIDADES!$I36=V$4,"●",IF(AND(ACTIVIDADES!$H36&lt;=V$4,ACTIVIDADES!$I36&gt;=V$4),"·","")))</f>
        <v/>
      </c>
      <c r="X36" s="8" t="str">
        <f>IF(OR(ACTIVIDADES!$I36="",W$4=""),"",IF(ACTIVIDADES!$I36=W$4,"●",IF(AND(ACTIVIDADES!$H36&lt;=W$4,ACTIVIDADES!$I36&gt;=W$4),"·","")))</f>
        <v/>
      </c>
      <c r="Y36" s="8" t="str">
        <f>IF(OR(ACTIVIDADES!$I36="",X$4=""),"",IF(ACTIVIDADES!$I36=X$4,"●",IF(AND(ACTIVIDADES!$H36&lt;=X$4,ACTIVIDADES!$I36&gt;=X$4),"·","")))</f>
        <v/>
      </c>
      <c r="Z36" s="8" t="str">
        <f>IF(OR(ACTIVIDADES!$I36="",Y$4=""),"",IF(ACTIVIDADES!$I36=Y$4,"●",IF(AND(ACTIVIDADES!$H36&lt;=Y$4,ACTIVIDADES!$I36&gt;=Y$4),"·","")))</f>
        <v/>
      </c>
      <c r="AA36" s="8" t="str">
        <f>IF(OR(ACTIVIDADES!$I36="",Z$4=""),"",IF(ACTIVIDADES!$I36=Z$4,"●",IF(AND(ACTIVIDADES!$H36&lt;=Z$4,ACTIVIDADES!$I36&gt;=Z$4),"·","")))</f>
        <v/>
      </c>
      <c r="AB36" s="8" t="str">
        <f>IF(OR(ACTIVIDADES!$I36="",AA$4=""),"",IF(ACTIVIDADES!$I36=AA$4,"●",IF(AND(ACTIVIDADES!$H36&lt;=AA$4,ACTIVIDADES!$I36&gt;=AA$4),"·","")))</f>
        <v/>
      </c>
      <c r="AC36" s="8" t="str">
        <f>IF(OR(ACTIVIDADES!$I36="",AB$4=""),"",IF(ACTIVIDADES!$I36=AB$4,"●",IF(AND(ACTIVIDADES!$H36&lt;=AB$4,ACTIVIDADES!$I36&gt;=AB$4),"·","")))</f>
        <v/>
      </c>
      <c r="AD36" s="8" t="str">
        <f>IF(OR(ACTIVIDADES!$I36="",AC$4=""),"",IF(ACTIVIDADES!$I36=AC$4,"●",IF(AND(ACTIVIDADES!$H36&lt;=AC$4,ACTIVIDADES!$I36&gt;=AC$4),"·","")))</f>
        <v/>
      </c>
      <c r="AE36" s="8" t="str">
        <f>IF(OR(ACTIVIDADES!$I36="",AD$4=""),"",IF(ACTIVIDADES!$I36=AD$4,"●",IF(AND(ACTIVIDADES!$H36&lt;=AD$4,ACTIVIDADES!$I36&gt;=AD$4),"·","")))</f>
        <v/>
      </c>
      <c r="AF36" s="8" t="str">
        <f>IF(OR(ACTIVIDADES!$I36="",AE$4=""),"",IF(ACTIVIDADES!$I36=AE$4,"●",IF(AND(ACTIVIDADES!$H36&lt;=AE$4,ACTIVIDADES!$I36&gt;=AE$4),"·","")))</f>
        <v/>
      </c>
      <c r="AG36" s="8" t="str">
        <f>IF(OR(ACTIVIDADES!$I36="",AF$4=""),"",IF(ACTIVIDADES!$I36=AF$4,"●",IF(AND(ACTIVIDADES!$H36&lt;=AF$4,ACTIVIDADES!$I36&gt;=AF$4),"·","")))</f>
        <v/>
      </c>
      <c r="AH36" s="8" t="str">
        <f>IF(OR(ACTIVIDADES!$I36="",AG$4=""),"",IF(ACTIVIDADES!$I36=AG$4,"●",IF(AND(ACTIVIDADES!$H36&lt;=AG$4,ACTIVIDADES!$I36&gt;=AG$4),"·","")))</f>
        <v/>
      </c>
      <c r="AI36" s="8" t="str">
        <f>IF(OR(ACTIVIDADES!$I36="",AH$4=""),"",IF(ACTIVIDADES!$I36=AH$4,"●",IF(AND(ACTIVIDADES!$H36&lt;=AH$4,ACTIVIDADES!$I36&gt;=AH$4),"·","")))</f>
        <v/>
      </c>
      <c r="AJ36" t="str">
        <f>IF(ACTIVIDADES!K36="","",ACTIVIDADES!K36)</f>
        <v>Cerrado</v>
      </c>
    </row>
    <row r="37" spans="1:36">
      <c r="A37" t="str">
        <f>IF(ACTIVIDADES!A37="","",ACTIVIDADES!A37)</f>
        <v>05.05</v>
      </c>
      <c r="B37" t="str">
        <f>IF(ACTIVIDADES!B37="","",ACTIVIDADES!B37)</f>
        <v>SENAE</v>
      </c>
      <c r="C37" t="str">
        <f>IF(ACTIVIDADES!C37="","",ACTIVIDADES!C37)</f>
        <v>Corte</v>
      </c>
      <c r="D37" t="str">
        <f>IF(ACTIVIDADES!D37="","",ACTIVIDADES!D37)</f>
        <v>Preparar y entregar corte del día 20</v>
      </c>
      <c r="E37" s="8" t="str">
        <f>IF(OR(ACTIVIDADES!$I37="",D$4=""),"",IF(ACTIVIDADES!$I37=D$4,"●",IF(AND(ACTIVIDADES!$H37&lt;=D$4,ACTIVIDADES!$I37&gt;=D$4),"·","")))</f>
        <v/>
      </c>
      <c r="F37" s="8" t="str">
        <f>IF(OR(ACTIVIDADES!$I37="",E$4=""),"",IF(ACTIVIDADES!$I37=E$4,"●",IF(AND(ACTIVIDADES!$H37&lt;=E$4,ACTIVIDADES!$I37&gt;=E$4),"·","")))</f>
        <v/>
      </c>
      <c r="G37" s="8" t="str">
        <f>IF(OR(ACTIVIDADES!$I37="",F$4=""),"",IF(ACTIVIDADES!$I37=F$4,"●",IF(AND(ACTIVIDADES!$H37&lt;=F$4,ACTIVIDADES!$I37&gt;=F$4),"·","")))</f>
        <v/>
      </c>
      <c r="H37" s="8" t="str">
        <f>IF(OR(ACTIVIDADES!$I37="",G$4=""),"",IF(ACTIVIDADES!$I37=G$4,"●",IF(AND(ACTIVIDADES!$H37&lt;=G$4,ACTIVIDADES!$I37&gt;=G$4),"·","")))</f>
        <v/>
      </c>
      <c r="I37" s="8" t="str">
        <f>IF(OR(ACTIVIDADES!$I37="",H$4=""),"",IF(ACTIVIDADES!$I37=H$4,"●",IF(AND(ACTIVIDADES!$H37&lt;=H$4,ACTIVIDADES!$I37&gt;=H$4),"·","")))</f>
        <v/>
      </c>
      <c r="J37" s="8" t="str">
        <f>IF(OR(ACTIVIDADES!$I37="",I$4=""),"",IF(ACTIVIDADES!$I37=I$4,"●",IF(AND(ACTIVIDADES!$H37&lt;=I$4,ACTIVIDADES!$I37&gt;=I$4),"·","")))</f>
        <v/>
      </c>
      <c r="K37" s="8" t="str">
        <f>IF(OR(ACTIVIDADES!$I37="",J$4=""),"",IF(ACTIVIDADES!$I37=J$4,"●",IF(AND(ACTIVIDADES!$H37&lt;=J$4,ACTIVIDADES!$I37&gt;=J$4),"·","")))</f>
        <v/>
      </c>
      <c r="L37" s="8" t="str">
        <f>IF(OR(ACTIVIDADES!$I37="",K$4=""),"",IF(ACTIVIDADES!$I37=K$4,"●",IF(AND(ACTIVIDADES!$H37&lt;=K$4,ACTIVIDADES!$I37&gt;=K$4),"·","")))</f>
        <v/>
      </c>
      <c r="M37" s="8" t="str">
        <f>IF(OR(ACTIVIDADES!$I37="",L$4=""),"",IF(ACTIVIDADES!$I37=L$4,"●",IF(AND(ACTIVIDADES!$H37&lt;=L$4,ACTIVIDADES!$I37&gt;=L$4),"·","")))</f>
        <v/>
      </c>
      <c r="N37" s="8" t="str">
        <f>IF(OR(ACTIVIDADES!$I37="",M$4=""),"",IF(ACTIVIDADES!$I37=M$4,"●",IF(AND(ACTIVIDADES!$H37&lt;=M$4,ACTIVIDADES!$I37&gt;=M$4),"·","")))</f>
        <v/>
      </c>
      <c r="O37" s="8" t="str">
        <f>IF(OR(ACTIVIDADES!$I37="",N$4=""),"",IF(ACTIVIDADES!$I37=N$4,"●",IF(AND(ACTIVIDADES!$H37&lt;=N$4,ACTIVIDADES!$I37&gt;=N$4),"·","")))</f>
        <v/>
      </c>
      <c r="P37" s="8" t="str">
        <f>IF(OR(ACTIVIDADES!$I37="",O$4=""),"",IF(ACTIVIDADES!$I37=O$4,"●",IF(AND(ACTIVIDADES!$H37&lt;=O$4,ACTIVIDADES!$I37&gt;=O$4),"·","")))</f>
        <v/>
      </c>
      <c r="Q37" s="8" t="str">
        <f>IF(OR(ACTIVIDADES!$I37="",P$4=""),"",IF(ACTIVIDADES!$I37=P$4,"●",IF(AND(ACTIVIDADES!$H37&lt;=P$4,ACTIVIDADES!$I37&gt;=P$4),"·","")))</f>
        <v/>
      </c>
      <c r="R37" s="8" t="str">
        <f>IF(OR(ACTIVIDADES!$I37="",Q$4=""),"",IF(ACTIVIDADES!$I37=Q$4,"●",IF(AND(ACTIVIDADES!$H37&lt;=Q$4,ACTIVIDADES!$I37&gt;=Q$4),"·","")))</f>
        <v/>
      </c>
      <c r="S37" s="8" t="str">
        <f>IF(OR(ACTIVIDADES!$I37="",R$4=""),"",IF(ACTIVIDADES!$I37=R$4,"●",IF(AND(ACTIVIDADES!$H37&lt;=R$4,ACTIVIDADES!$I37&gt;=R$4),"·","")))</f>
        <v/>
      </c>
      <c r="T37" s="8" t="str">
        <f>IF(OR(ACTIVIDADES!$I37="",S$4=""),"",IF(ACTIVIDADES!$I37=S$4,"●",IF(AND(ACTIVIDADES!$H37&lt;=S$4,ACTIVIDADES!$I37&gt;=S$4),"·","")))</f>
        <v/>
      </c>
      <c r="U37" s="8" t="str">
        <f>IF(OR(ACTIVIDADES!$I37="",T$4=""),"",IF(ACTIVIDADES!$I37=T$4,"●",IF(AND(ACTIVIDADES!$H37&lt;=T$4,ACTIVIDADES!$I37&gt;=T$4),"·","")))</f>
        <v/>
      </c>
      <c r="V37" s="8" t="str">
        <f>IF(OR(ACTIVIDADES!$I37="",U$4=""),"",IF(ACTIVIDADES!$I37=U$4,"●",IF(AND(ACTIVIDADES!$H37&lt;=U$4,ACTIVIDADES!$I37&gt;=U$4),"·","")))</f>
        <v/>
      </c>
      <c r="W37" s="8" t="str">
        <f>IF(OR(ACTIVIDADES!$I37="",V$4=""),"",IF(ACTIVIDADES!$I37=V$4,"●",IF(AND(ACTIVIDADES!$H37&lt;=V$4,ACTIVIDADES!$I37&gt;=V$4),"·","")))</f>
        <v/>
      </c>
      <c r="X37" s="8" t="str">
        <f>IF(OR(ACTIVIDADES!$I37="",W$4=""),"",IF(ACTIVIDADES!$I37=W$4,"●",IF(AND(ACTIVIDADES!$H37&lt;=W$4,ACTIVIDADES!$I37&gt;=W$4),"·","")))</f>
        <v/>
      </c>
      <c r="Y37" s="8" t="str">
        <f>IF(OR(ACTIVIDADES!$I37="",X$4=""),"",IF(ACTIVIDADES!$I37=X$4,"●",IF(AND(ACTIVIDADES!$H37&lt;=X$4,ACTIVIDADES!$I37&gt;=X$4),"·","")))</f>
        <v>●</v>
      </c>
      <c r="Z37" s="8" t="str">
        <f>IF(OR(ACTIVIDADES!$I37="",Y$4=""),"",IF(ACTIVIDADES!$I37=Y$4,"●",IF(AND(ACTIVIDADES!$H37&lt;=Y$4,ACTIVIDADES!$I37&gt;=Y$4),"·","")))</f>
        <v/>
      </c>
      <c r="AA37" s="8" t="str">
        <f>IF(OR(ACTIVIDADES!$I37="",Z$4=""),"",IF(ACTIVIDADES!$I37=Z$4,"●",IF(AND(ACTIVIDADES!$H37&lt;=Z$4,ACTIVIDADES!$I37&gt;=Z$4),"·","")))</f>
        <v/>
      </c>
      <c r="AB37" s="8" t="str">
        <f>IF(OR(ACTIVIDADES!$I37="",AA$4=""),"",IF(ACTIVIDADES!$I37=AA$4,"●",IF(AND(ACTIVIDADES!$H37&lt;=AA$4,ACTIVIDADES!$I37&gt;=AA$4),"·","")))</f>
        <v/>
      </c>
      <c r="AC37" s="8" t="str">
        <f>IF(OR(ACTIVIDADES!$I37="",AB$4=""),"",IF(ACTIVIDADES!$I37=AB$4,"●",IF(AND(ACTIVIDADES!$H37&lt;=AB$4,ACTIVIDADES!$I37&gt;=AB$4),"·","")))</f>
        <v/>
      </c>
      <c r="AD37" s="8" t="str">
        <f>IF(OR(ACTIVIDADES!$I37="",AC$4=""),"",IF(ACTIVIDADES!$I37=AC$4,"●",IF(AND(ACTIVIDADES!$H37&lt;=AC$4,ACTIVIDADES!$I37&gt;=AC$4),"·","")))</f>
        <v/>
      </c>
      <c r="AE37" s="8" t="str">
        <f>IF(OR(ACTIVIDADES!$I37="",AD$4=""),"",IF(ACTIVIDADES!$I37=AD$4,"●",IF(AND(ACTIVIDADES!$H37&lt;=AD$4,ACTIVIDADES!$I37&gt;=AD$4),"·","")))</f>
        <v/>
      </c>
      <c r="AF37" s="8" t="str">
        <f>IF(OR(ACTIVIDADES!$I37="",AE$4=""),"",IF(ACTIVIDADES!$I37=AE$4,"●",IF(AND(ACTIVIDADES!$H37&lt;=AE$4,ACTIVIDADES!$I37&gt;=AE$4),"·","")))</f>
        <v/>
      </c>
      <c r="AG37" s="8" t="str">
        <f>IF(OR(ACTIVIDADES!$I37="",AF$4=""),"",IF(ACTIVIDADES!$I37=AF$4,"●",IF(AND(ACTIVIDADES!$H37&lt;=AF$4,ACTIVIDADES!$I37&gt;=AF$4),"·","")))</f>
        <v/>
      </c>
      <c r="AH37" s="8" t="str">
        <f>IF(OR(ACTIVIDADES!$I37="",AG$4=""),"",IF(ACTIVIDADES!$I37=AG$4,"●",IF(AND(ACTIVIDADES!$H37&lt;=AG$4,ACTIVIDADES!$I37&gt;=AG$4),"·","")))</f>
        <v/>
      </c>
      <c r="AI37" s="8" t="str">
        <f>IF(OR(ACTIVIDADES!$I37="",AH$4=""),"",IF(ACTIVIDADES!$I37=AH$4,"●",IF(AND(ACTIVIDADES!$H37&lt;=AH$4,ACTIVIDADES!$I37&gt;=AH$4),"·","")))</f>
        <v/>
      </c>
      <c r="AJ37" t="str">
        <f>IF(ACTIVIDADES!K37="","",ACTIVIDADES!K37)</f>
        <v>Pendiente</v>
      </c>
    </row>
    <row r="38" spans="1:36">
      <c r="A38" t="str">
        <f>IF(ACTIVIDADES!A38="","",ACTIVIDADES!A38)</f>
        <v>05.06</v>
      </c>
      <c r="B38" t="str">
        <f>IF(ACTIVIDADES!B38="","",ACTIVIDADES!B38)</f>
        <v>SENAE</v>
      </c>
      <c r="C38" t="str">
        <f>IF(ACTIVIDADES!C38="","",ACTIVIDADES!C38)</f>
        <v>Corte</v>
      </c>
      <c r="D38" t="str">
        <f>IF(ACTIVIDADES!D38="","",ACTIVIDADES!D38)</f>
        <v>Preparar y entregar corte del día 26</v>
      </c>
      <c r="E38" s="8" t="str">
        <f>IF(OR(ACTIVIDADES!$I38="",D$4=""),"",IF(ACTIVIDADES!$I38=D$4,"●",IF(AND(ACTIVIDADES!$H38&lt;=D$4,ACTIVIDADES!$I38&gt;=D$4),"·","")))</f>
        <v/>
      </c>
      <c r="F38" s="8" t="str">
        <f>IF(OR(ACTIVIDADES!$I38="",E$4=""),"",IF(ACTIVIDADES!$I38=E$4,"●",IF(AND(ACTIVIDADES!$H38&lt;=E$4,ACTIVIDADES!$I38&gt;=E$4),"·","")))</f>
        <v/>
      </c>
      <c r="G38" s="8" t="str">
        <f>IF(OR(ACTIVIDADES!$I38="",F$4=""),"",IF(ACTIVIDADES!$I38=F$4,"●",IF(AND(ACTIVIDADES!$H38&lt;=F$4,ACTIVIDADES!$I38&gt;=F$4),"·","")))</f>
        <v/>
      </c>
      <c r="H38" s="8" t="str">
        <f>IF(OR(ACTIVIDADES!$I38="",G$4=""),"",IF(ACTIVIDADES!$I38=G$4,"●",IF(AND(ACTIVIDADES!$H38&lt;=G$4,ACTIVIDADES!$I38&gt;=G$4),"·","")))</f>
        <v/>
      </c>
      <c r="I38" s="8" t="str">
        <f>IF(OR(ACTIVIDADES!$I38="",H$4=""),"",IF(ACTIVIDADES!$I38=H$4,"●",IF(AND(ACTIVIDADES!$H38&lt;=H$4,ACTIVIDADES!$I38&gt;=H$4),"·","")))</f>
        <v/>
      </c>
      <c r="J38" s="8" t="str">
        <f>IF(OR(ACTIVIDADES!$I38="",I$4=""),"",IF(ACTIVIDADES!$I38=I$4,"●",IF(AND(ACTIVIDADES!$H38&lt;=I$4,ACTIVIDADES!$I38&gt;=I$4),"·","")))</f>
        <v/>
      </c>
      <c r="K38" s="8" t="str">
        <f>IF(OR(ACTIVIDADES!$I38="",J$4=""),"",IF(ACTIVIDADES!$I38=J$4,"●",IF(AND(ACTIVIDADES!$H38&lt;=J$4,ACTIVIDADES!$I38&gt;=J$4),"·","")))</f>
        <v/>
      </c>
      <c r="L38" s="8" t="str">
        <f>IF(OR(ACTIVIDADES!$I38="",K$4=""),"",IF(ACTIVIDADES!$I38=K$4,"●",IF(AND(ACTIVIDADES!$H38&lt;=K$4,ACTIVIDADES!$I38&gt;=K$4),"·","")))</f>
        <v/>
      </c>
      <c r="M38" s="8" t="str">
        <f>IF(OR(ACTIVIDADES!$I38="",L$4=""),"",IF(ACTIVIDADES!$I38=L$4,"●",IF(AND(ACTIVIDADES!$H38&lt;=L$4,ACTIVIDADES!$I38&gt;=L$4),"·","")))</f>
        <v/>
      </c>
      <c r="N38" s="8" t="str">
        <f>IF(OR(ACTIVIDADES!$I38="",M$4=""),"",IF(ACTIVIDADES!$I38=M$4,"●",IF(AND(ACTIVIDADES!$H38&lt;=M$4,ACTIVIDADES!$I38&gt;=M$4),"·","")))</f>
        <v/>
      </c>
      <c r="O38" s="8" t="str">
        <f>IF(OR(ACTIVIDADES!$I38="",N$4=""),"",IF(ACTIVIDADES!$I38=N$4,"●",IF(AND(ACTIVIDADES!$H38&lt;=N$4,ACTIVIDADES!$I38&gt;=N$4),"·","")))</f>
        <v/>
      </c>
      <c r="P38" s="8" t="str">
        <f>IF(OR(ACTIVIDADES!$I38="",O$4=""),"",IF(ACTIVIDADES!$I38=O$4,"●",IF(AND(ACTIVIDADES!$H38&lt;=O$4,ACTIVIDADES!$I38&gt;=O$4),"·","")))</f>
        <v/>
      </c>
      <c r="Q38" s="8" t="str">
        <f>IF(OR(ACTIVIDADES!$I38="",P$4=""),"",IF(ACTIVIDADES!$I38=P$4,"●",IF(AND(ACTIVIDADES!$H38&lt;=P$4,ACTIVIDADES!$I38&gt;=P$4),"·","")))</f>
        <v/>
      </c>
      <c r="R38" s="8" t="str">
        <f>IF(OR(ACTIVIDADES!$I38="",Q$4=""),"",IF(ACTIVIDADES!$I38=Q$4,"●",IF(AND(ACTIVIDADES!$H38&lt;=Q$4,ACTIVIDADES!$I38&gt;=Q$4),"·","")))</f>
        <v/>
      </c>
      <c r="S38" s="8" t="str">
        <f>IF(OR(ACTIVIDADES!$I38="",R$4=""),"",IF(ACTIVIDADES!$I38=R$4,"●",IF(AND(ACTIVIDADES!$H38&lt;=R$4,ACTIVIDADES!$I38&gt;=R$4),"·","")))</f>
        <v/>
      </c>
      <c r="T38" s="8" t="str">
        <f>IF(OR(ACTIVIDADES!$I38="",S$4=""),"",IF(ACTIVIDADES!$I38=S$4,"●",IF(AND(ACTIVIDADES!$H38&lt;=S$4,ACTIVIDADES!$I38&gt;=S$4),"·","")))</f>
        <v/>
      </c>
      <c r="U38" s="8" t="str">
        <f>IF(OR(ACTIVIDADES!$I38="",T$4=""),"",IF(ACTIVIDADES!$I38=T$4,"●",IF(AND(ACTIVIDADES!$H38&lt;=T$4,ACTIVIDADES!$I38&gt;=T$4),"·","")))</f>
        <v/>
      </c>
      <c r="V38" s="8" t="str">
        <f>IF(OR(ACTIVIDADES!$I38="",U$4=""),"",IF(ACTIVIDADES!$I38=U$4,"●",IF(AND(ACTIVIDADES!$H38&lt;=U$4,ACTIVIDADES!$I38&gt;=U$4),"·","")))</f>
        <v/>
      </c>
      <c r="W38" s="8" t="str">
        <f>IF(OR(ACTIVIDADES!$I38="",V$4=""),"",IF(ACTIVIDADES!$I38=V$4,"●",IF(AND(ACTIVIDADES!$H38&lt;=V$4,ACTIVIDADES!$I38&gt;=V$4),"·","")))</f>
        <v/>
      </c>
      <c r="X38" s="8" t="str">
        <f>IF(OR(ACTIVIDADES!$I38="",W$4=""),"",IF(ACTIVIDADES!$I38=W$4,"●",IF(AND(ACTIVIDADES!$H38&lt;=W$4,ACTIVIDADES!$I38&gt;=W$4),"·","")))</f>
        <v/>
      </c>
      <c r="Y38" s="8" t="str">
        <f>IF(OR(ACTIVIDADES!$I38="",X$4=""),"",IF(ACTIVIDADES!$I38=X$4,"●",IF(AND(ACTIVIDADES!$H38&lt;=X$4,ACTIVIDADES!$I38&gt;=X$4),"·","")))</f>
        <v/>
      </c>
      <c r="Z38" s="8" t="str">
        <f>IF(OR(ACTIVIDADES!$I38="",Y$4=""),"",IF(ACTIVIDADES!$I38=Y$4,"●",IF(AND(ACTIVIDADES!$H38&lt;=Y$4,ACTIVIDADES!$I38&gt;=Y$4),"·","")))</f>
        <v/>
      </c>
      <c r="AA38" s="8" t="str">
        <f>IF(OR(ACTIVIDADES!$I38="",Z$4=""),"",IF(ACTIVIDADES!$I38=Z$4,"●",IF(AND(ACTIVIDADES!$H38&lt;=Z$4,ACTIVIDADES!$I38&gt;=Z$4),"·","")))</f>
        <v/>
      </c>
      <c r="AB38" s="8" t="str">
        <f>IF(OR(ACTIVIDADES!$I38="",AA$4=""),"",IF(ACTIVIDADES!$I38=AA$4,"●",IF(AND(ACTIVIDADES!$H38&lt;=AA$4,ACTIVIDADES!$I38&gt;=AA$4),"·","")))</f>
        <v/>
      </c>
      <c r="AC38" s="8" t="str">
        <f>IF(OR(ACTIVIDADES!$I38="",AB$4=""),"",IF(ACTIVIDADES!$I38=AB$4,"●",IF(AND(ACTIVIDADES!$H38&lt;=AB$4,ACTIVIDADES!$I38&gt;=AB$4),"·","")))</f>
        <v/>
      </c>
      <c r="AD38" s="8" t="str">
        <f>IF(OR(ACTIVIDADES!$I38="",AC$4=""),"",IF(ACTIVIDADES!$I38=AC$4,"●",IF(AND(ACTIVIDADES!$H38&lt;=AC$4,ACTIVIDADES!$I38&gt;=AC$4),"·","")))</f>
        <v/>
      </c>
      <c r="AE38" s="8" t="str">
        <f>IF(OR(ACTIVIDADES!$I38="",AD$4=""),"",IF(ACTIVIDADES!$I38=AD$4,"●",IF(AND(ACTIVIDADES!$H38&lt;=AD$4,ACTIVIDADES!$I38&gt;=AD$4),"·","")))</f>
        <v>●</v>
      </c>
      <c r="AF38" s="8" t="str">
        <f>IF(OR(ACTIVIDADES!$I38="",AE$4=""),"",IF(ACTIVIDADES!$I38=AE$4,"●",IF(AND(ACTIVIDADES!$H38&lt;=AE$4,ACTIVIDADES!$I38&gt;=AE$4),"·","")))</f>
        <v/>
      </c>
      <c r="AG38" s="8" t="str">
        <f>IF(OR(ACTIVIDADES!$I38="",AF$4=""),"",IF(ACTIVIDADES!$I38=AF$4,"●",IF(AND(ACTIVIDADES!$H38&lt;=AF$4,ACTIVIDADES!$I38&gt;=AF$4),"·","")))</f>
        <v/>
      </c>
      <c r="AH38" s="8" t="str">
        <f>IF(OR(ACTIVIDADES!$I38="",AG$4=""),"",IF(ACTIVIDADES!$I38=AG$4,"●",IF(AND(ACTIVIDADES!$H38&lt;=AG$4,ACTIVIDADES!$I38&gt;=AG$4),"·","")))</f>
        <v/>
      </c>
      <c r="AI38" s="8" t="str">
        <f>IF(OR(ACTIVIDADES!$I38="",AH$4=""),"",IF(ACTIVIDADES!$I38=AH$4,"●",IF(AND(ACTIVIDADES!$H38&lt;=AH$4,ACTIVIDADES!$I38&gt;=AH$4),"·","")))</f>
        <v/>
      </c>
      <c r="AJ38" t="str">
        <f>IF(ACTIVIDADES!K38="","",ACTIVIDADES!K38)</f>
        <v>Pendiente</v>
      </c>
    </row>
    <row r="39" spans="1:36">
      <c r="A39" t="str">
        <f>IF(ACTIVIDADES!A39="","",ACTIVIDADES!A39)</f>
        <v>05.07</v>
      </c>
      <c r="B39" t="str">
        <f>IF(ACTIVIDADES!B39="","",ACTIVIDADES!B39)</f>
        <v>SENAE</v>
      </c>
      <c r="C39" t="str">
        <f>IF(ACTIVIDADES!C39="","",ACTIVIDADES!C39)</f>
        <v>Corte</v>
      </c>
      <c r="D39" t="str">
        <f>IF(ACTIVIDADES!D39="","",ACTIVIDADES!D39)</f>
        <v>Preparar y entregar corte del día 30</v>
      </c>
      <c r="E39" s="8" t="str">
        <f>IF(OR(ACTIVIDADES!$I39="",D$4=""),"",IF(ACTIVIDADES!$I39=D$4,"●",IF(AND(ACTIVIDADES!$H39&lt;=D$4,ACTIVIDADES!$I39&gt;=D$4),"·","")))</f>
        <v/>
      </c>
      <c r="F39" s="8" t="str">
        <f>IF(OR(ACTIVIDADES!$I39="",E$4=""),"",IF(ACTIVIDADES!$I39=E$4,"●",IF(AND(ACTIVIDADES!$H39&lt;=E$4,ACTIVIDADES!$I39&gt;=E$4),"·","")))</f>
        <v/>
      </c>
      <c r="G39" s="8" t="str">
        <f>IF(OR(ACTIVIDADES!$I39="",F$4=""),"",IF(ACTIVIDADES!$I39=F$4,"●",IF(AND(ACTIVIDADES!$H39&lt;=F$4,ACTIVIDADES!$I39&gt;=F$4),"·","")))</f>
        <v/>
      </c>
      <c r="H39" s="8" t="str">
        <f>IF(OR(ACTIVIDADES!$I39="",G$4=""),"",IF(ACTIVIDADES!$I39=G$4,"●",IF(AND(ACTIVIDADES!$H39&lt;=G$4,ACTIVIDADES!$I39&gt;=G$4),"·","")))</f>
        <v/>
      </c>
      <c r="I39" s="8" t="str">
        <f>IF(OR(ACTIVIDADES!$I39="",H$4=""),"",IF(ACTIVIDADES!$I39=H$4,"●",IF(AND(ACTIVIDADES!$H39&lt;=H$4,ACTIVIDADES!$I39&gt;=H$4),"·","")))</f>
        <v/>
      </c>
      <c r="J39" s="8" t="str">
        <f>IF(OR(ACTIVIDADES!$I39="",I$4=""),"",IF(ACTIVIDADES!$I39=I$4,"●",IF(AND(ACTIVIDADES!$H39&lt;=I$4,ACTIVIDADES!$I39&gt;=I$4),"·","")))</f>
        <v/>
      </c>
      <c r="K39" s="8" t="str">
        <f>IF(OR(ACTIVIDADES!$I39="",J$4=""),"",IF(ACTIVIDADES!$I39=J$4,"●",IF(AND(ACTIVIDADES!$H39&lt;=J$4,ACTIVIDADES!$I39&gt;=J$4),"·","")))</f>
        <v/>
      </c>
      <c r="L39" s="8" t="str">
        <f>IF(OR(ACTIVIDADES!$I39="",K$4=""),"",IF(ACTIVIDADES!$I39=K$4,"●",IF(AND(ACTIVIDADES!$H39&lt;=K$4,ACTIVIDADES!$I39&gt;=K$4),"·","")))</f>
        <v/>
      </c>
      <c r="M39" s="8" t="str">
        <f>IF(OR(ACTIVIDADES!$I39="",L$4=""),"",IF(ACTIVIDADES!$I39=L$4,"●",IF(AND(ACTIVIDADES!$H39&lt;=L$4,ACTIVIDADES!$I39&gt;=L$4),"·","")))</f>
        <v/>
      </c>
      <c r="N39" s="8" t="str">
        <f>IF(OR(ACTIVIDADES!$I39="",M$4=""),"",IF(ACTIVIDADES!$I39=M$4,"●",IF(AND(ACTIVIDADES!$H39&lt;=M$4,ACTIVIDADES!$I39&gt;=M$4),"·","")))</f>
        <v/>
      </c>
      <c r="O39" s="8" t="str">
        <f>IF(OR(ACTIVIDADES!$I39="",N$4=""),"",IF(ACTIVIDADES!$I39=N$4,"●",IF(AND(ACTIVIDADES!$H39&lt;=N$4,ACTIVIDADES!$I39&gt;=N$4),"·","")))</f>
        <v/>
      </c>
      <c r="P39" s="8" t="str">
        <f>IF(OR(ACTIVIDADES!$I39="",O$4=""),"",IF(ACTIVIDADES!$I39=O$4,"●",IF(AND(ACTIVIDADES!$H39&lt;=O$4,ACTIVIDADES!$I39&gt;=O$4),"·","")))</f>
        <v/>
      </c>
      <c r="Q39" s="8" t="str">
        <f>IF(OR(ACTIVIDADES!$I39="",P$4=""),"",IF(ACTIVIDADES!$I39=P$4,"●",IF(AND(ACTIVIDADES!$H39&lt;=P$4,ACTIVIDADES!$I39&gt;=P$4),"·","")))</f>
        <v/>
      </c>
      <c r="R39" s="8" t="str">
        <f>IF(OR(ACTIVIDADES!$I39="",Q$4=""),"",IF(ACTIVIDADES!$I39=Q$4,"●",IF(AND(ACTIVIDADES!$H39&lt;=Q$4,ACTIVIDADES!$I39&gt;=Q$4),"·","")))</f>
        <v/>
      </c>
      <c r="S39" s="8" t="str">
        <f>IF(OR(ACTIVIDADES!$I39="",R$4=""),"",IF(ACTIVIDADES!$I39=R$4,"●",IF(AND(ACTIVIDADES!$H39&lt;=R$4,ACTIVIDADES!$I39&gt;=R$4),"·","")))</f>
        <v/>
      </c>
      <c r="T39" s="8" t="str">
        <f>IF(OR(ACTIVIDADES!$I39="",S$4=""),"",IF(ACTIVIDADES!$I39=S$4,"●",IF(AND(ACTIVIDADES!$H39&lt;=S$4,ACTIVIDADES!$I39&gt;=S$4),"·","")))</f>
        <v/>
      </c>
      <c r="U39" s="8" t="str">
        <f>IF(OR(ACTIVIDADES!$I39="",T$4=""),"",IF(ACTIVIDADES!$I39=T$4,"●",IF(AND(ACTIVIDADES!$H39&lt;=T$4,ACTIVIDADES!$I39&gt;=T$4),"·","")))</f>
        <v/>
      </c>
      <c r="V39" s="8" t="str">
        <f>IF(OR(ACTIVIDADES!$I39="",U$4=""),"",IF(ACTIVIDADES!$I39=U$4,"●",IF(AND(ACTIVIDADES!$H39&lt;=U$4,ACTIVIDADES!$I39&gt;=U$4),"·","")))</f>
        <v/>
      </c>
      <c r="W39" s="8" t="str">
        <f>IF(OR(ACTIVIDADES!$I39="",V$4=""),"",IF(ACTIVIDADES!$I39=V$4,"●",IF(AND(ACTIVIDADES!$H39&lt;=V$4,ACTIVIDADES!$I39&gt;=V$4),"·","")))</f>
        <v/>
      </c>
      <c r="X39" s="8" t="str">
        <f>IF(OR(ACTIVIDADES!$I39="",W$4=""),"",IF(ACTIVIDADES!$I39=W$4,"●",IF(AND(ACTIVIDADES!$H39&lt;=W$4,ACTIVIDADES!$I39&gt;=W$4),"·","")))</f>
        <v/>
      </c>
      <c r="Y39" s="8" t="str">
        <f>IF(OR(ACTIVIDADES!$I39="",X$4=""),"",IF(ACTIVIDADES!$I39=X$4,"●",IF(AND(ACTIVIDADES!$H39&lt;=X$4,ACTIVIDADES!$I39&gt;=X$4),"·","")))</f>
        <v/>
      </c>
      <c r="Z39" s="8" t="str">
        <f>IF(OR(ACTIVIDADES!$I39="",Y$4=""),"",IF(ACTIVIDADES!$I39=Y$4,"●",IF(AND(ACTIVIDADES!$H39&lt;=Y$4,ACTIVIDADES!$I39&gt;=Y$4),"·","")))</f>
        <v/>
      </c>
      <c r="AA39" s="8" t="str">
        <f>IF(OR(ACTIVIDADES!$I39="",Z$4=""),"",IF(ACTIVIDADES!$I39=Z$4,"●",IF(AND(ACTIVIDADES!$H39&lt;=Z$4,ACTIVIDADES!$I39&gt;=Z$4),"·","")))</f>
        <v/>
      </c>
      <c r="AB39" s="8" t="str">
        <f>IF(OR(ACTIVIDADES!$I39="",AA$4=""),"",IF(ACTIVIDADES!$I39=AA$4,"●",IF(AND(ACTIVIDADES!$H39&lt;=AA$4,ACTIVIDADES!$I39&gt;=AA$4),"·","")))</f>
        <v/>
      </c>
      <c r="AC39" s="8" t="str">
        <f>IF(OR(ACTIVIDADES!$I39="",AB$4=""),"",IF(ACTIVIDADES!$I39=AB$4,"●",IF(AND(ACTIVIDADES!$H39&lt;=AB$4,ACTIVIDADES!$I39&gt;=AB$4),"·","")))</f>
        <v/>
      </c>
      <c r="AD39" s="8" t="str">
        <f>IF(OR(ACTIVIDADES!$I39="",AC$4=""),"",IF(ACTIVIDADES!$I39=AC$4,"●",IF(AND(ACTIVIDADES!$H39&lt;=AC$4,ACTIVIDADES!$I39&gt;=AC$4),"·","")))</f>
        <v/>
      </c>
      <c r="AE39" s="8" t="str">
        <f>IF(OR(ACTIVIDADES!$I39="",AD$4=""),"",IF(ACTIVIDADES!$I39=AD$4,"●",IF(AND(ACTIVIDADES!$H39&lt;=AD$4,ACTIVIDADES!$I39&gt;=AD$4),"·","")))</f>
        <v/>
      </c>
      <c r="AF39" s="8" t="str">
        <f>IF(OR(ACTIVIDADES!$I39="",AE$4=""),"",IF(ACTIVIDADES!$I39=AE$4,"●",IF(AND(ACTIVIDADES!$H39&lt;=AE$4,ACTIVIDADES!$I39&gt;=AE$4),"·","")))</f>
        <v/>
      </c>
      <c r="AG39" s="8" t="str">
        <f>IF(OR(ACTIVIDADES!$I39="",AF$4=""),"",IF(ACTIVIDADES!$I39=AF$4,"●",IF(AND(ACTIVIDADES!$H39&lt;=AF$4,ACTIVIDADES!$I39&gt;=AF$4),"·","")))</f>
        <v/>
      </c>
      <c r="AH39" s="8" t="str">
        <f>IF(OR(ACTIVIDADES!$I39="",AG$4=""),"",IF(ACTIVIDADES!$I39=AG$4,"●",IF(AND(ACTIVIDADES!$H39&lt;=AG$4,ACTIVIDADES!$I39&gt;=AG$4),"·","")))</f>
        <v/>
      </c>
      <c r="AI39" s="8" t="str">
        <f>IF(OR(ACTIVIDADES!$I39="",AH$4=""),"",IF(ACTIVIDADES!$I39=AH$4,"●",IF(AND(ACTIVIDADES!$H39&lt;=AH$4,ACTIVIDADES!$I39&gt;=AH$4),"·","")))</f>
        <v>●</v>
      </c>
      <c r="AJ39" t="str">
        <f>IF(ACTIVIDADES!K39="","",ACTIVIDADES!K39)</f>
        <v>Pendiente</v>
      </c>
    </row>
    <row r="40" spans="1:36">
      <c r="A40" t="str">
        <f>IF(ACTIVIDADES!A40="","",ACTIVIDADES!A40)</f>
        <v>06.01</v>
      </c>
      <c r="B40" t="str">
        <f>IF(ACTIVIDADES!B40="","",ACTIVIDADES!B40)</f>
        <v>CELEC - ORIENTE</v>
      </c>
      <c r="C40" t="str">
        <f>IF(ACTIVIDADES!C40="","",ACTIVIDADES!C40)</f>
        <v>Informe</v>
      </c>
      <c r="D40" t="str">
        <f>IF(ACTIVIDADES!D40="","",ACTIVIDADES!D40)</f>
        <v>Solicitar y entregar informe mensual</v>
      </c>
      <c r="E40" s="8" t="str">
        <f>IF(OR(ACTIVIDADES!$I40="",D$4=""),"",IF(ACTIVIDADES!$I40=D$4,"●",IF(AND(ACTIVIDADES!$H40&lt;=D$4,ACTIVIDADES!$I40&gt;=D$4),"·","")))</f>
        <v/>
      </c>
      <c r="F40" s="8" t="str">
        <f>IF(OR(ACTIVIDADES!$I40="",E$4=""),"",IF(ACTIVIDADES!$I40=E$4,"●",IF(AND(ACTIVIDADES!$H40&lt;=E$4,ACTIVIDADES!$I40&gt;=E$4),"·","")))</f>
        <v/>
      </c>
      <c r="G40" s="8" t="str">
        <f>IF(OR(ACTIVIDADES!$I40="",F$4=""),"",IF(ACTIVIDADES!$I40=F$4,"●",IF(AND(ACTIVIDADES!$H40&lt;=F$4,ACTIVIDADES!$I40&gt;=F$4),"·","")))</f>
        <v/>
      </c>
      <c r="H40" s="8" t="str">
        <f>IF(OR(ACTIVIDADES!$I40="",G$4=""),"",IF(ACTIVIDADES!$I40=G$4,"●",IF(AND(ACTIVIDADES!$H40&lt;=G$4,ACTIVIDADES!$I40&gt;=G$4),"·","")))</f>
        <v/>
      </c>
      <c r="I40" s="8" t="str">
        <f>IF(OR(ACTIVIDADES!$I40="",H$4=""),"",IF(ACTIVIDADES!$I40=H$4,"●",IF(AND(ACTIVIDADES!$H40&lt;=H$4,ACTIVIDADES!$I40&gt;=H$4),"·","")))</f>
        <v/>
      </c>
      <c r="J40" s="8" t="str">
        <f>IF(OR(ACTIVIDADES!$I40="",I$4=""),"",IF(ACTIVIDADES!$I40=I$4,"●",IF(AND(ACTIVIDADES!$H40&lt;=I$4,ACTIVIDADES!$I40&gt;=I$4),"·","")))</f>
        <v/>
      </c>
      <c r="K40" s="8" t="str">
        <f>IF(OR(ACTIVIDADES!$I40="",J$4=""),"",IF(ACTIVIDADES!$I40=J$4,"●",IF(AND(ACTIVIDADES!$H40&lt;=J$4,ACTIVIDADES!$I40&gt;=J$4),"·","")))</f>
        <v/>
      </c>
      <c r="L40" s="8" t="str">
        <f>IF(OR(ACTIVIDADES!$I40="",K$4=""),"",IF(ACTIVIDADES!$I40=K$4,"●",IF(AND(ACTIVIDADES!$H40&lt;=K$4,ACTIVIDADES!$I40&gt;=K$4),"·","")))</f>
        <v/>
      </c>
      <c r="M40" s="8" t="str">
        <f>IF(OR(ACTIVIDADES!$I40="",L$4=""),"",IF(ACTIVIDADES!$I40=L$4,"●",IF(AND(ACTIVIDADES!$H40&lt;=L$4,ACTIVIDADES!$I40&gt;=L$4),"·","")))</f>
        <v/>
      </c>
      <c r="N40" s="8" t="str">
        <f>IF(OR(ACTIVIDADES!$I40="",M$4=""),"",IF(ACTIVIDADES!$I40=M$4,"●",IF(AND(ACTIVIDADES!$H40&lt;=M$4,ACTIVIDADES!$I40&gt;=M$4),"·","")))</f>
        <v/>
      </c>
      <c r="O40" s="8" t="str">
        <f>IF(OR(ACTIVIDADES!$I40="",N$4=""),"",IF(ACTIVIDADES!$I40=N$4,"●",IF(AND(ACTIVIDADES!$H40&lt;=N$4,ACTIVIDADES!$I40&gt;=N$4),"·","")))</f>
        <v/>
      </c>
      <c r="P40" s="8" t="str">
        <f>IF(OR(ACTIVIDADES!$I40="",O$4=""),"",IF(ACTIVIDADES!$I40=O$4,"●",IF(AND(ACTIVIDADES!$H40&lt;=O$4,ACTIVIDADES!$I40&gt;=O$4),"·","")))</f>
        <v/>
      </c>
      <c r="Q40" s="8" t="str">
        <f>IF(OR(ACTIVIDADES!$I40="",P$4=""),"",IF(ACTIVIDADES!$I40=P$4,"●",IF(AND(ACTIVIDADES!$H40&lt;=P$4,ACTIVIDADES!$I40&gt;=P$4),"·","")))</f>
        <v/>
      </c>
      <c r="R40" s="8" t="str">
        <f>IF(OR(ACTIVIDADES!$I40="",Q$4=""),"",IF(ACTIVIDADES!$I40=Q$4,"●",IF(AND(ACTIVIDADES!$H40&lt;=Q$4,ACTIVIDADES!$I40&gt;=Q$4),"·","")))</f>
        <v/>
      </c>
      <c r="S40" s="8" t="str">
        <f>IF(OR(ACTIVIDADES!$I40="",R$4=""),"",IF(ACTIVIDADES!$I40=R$4,"●",IF(AND(ACTIVIDADES!$H40&lt;=R$4,ACTIVIDADES!$I40&gt;=R$4),"·","")))</f>
        <v/>
      </c>
      <c r="T40" s="8" t="str">
        <f>IF(OR(ACTIVIDADES!$I40="",S$4=""),"",IF(ACTIVIDADES!$I40=S$4,"●",IF(AND(ACTIVIDADES!$H40&lt;=S$4,ACTIVIDADES!$I40&gt;=S$4),"·","")))</f>
        <v/>
      </c>
      <c r="U40" s="8" t="str">
        <f>IF(OR(ACTIVIDADES!$I40="",T$4=""),"",IF(ACTIVIDADES!$I40=T$4,"●",IF(AND(ACTIVIDADES!$H40&lt;=T$4,ACTIVIDADES!$I40&gt;=T$4),"·","")))</f>
        <v/>
      </c>
      <c r="V40" s="8" t="str">
        <f>IF(OR(ACTIVIDADES!$I40="",U$4=""),"",IF(ACTIVIDADES!$I40=U$4,"●",IF(AND(ACTIVIDADES!$H40&lt;=U$4,ACTIVIDADES!$I40&gt;=U$4),"·","")))</f>
        <v/>
      </c>
      <c r="W40" s="8" t="str">
        <f>IF(OR(ACTIVIDADES!$I40="",V$4=""),"",IF(ACTIVIDADES!$I40=V$4,"●",IF(AND(ACTIVIDADES!$H40&lt;=V$4,ACTIVIDADES!$I40&gt;=V$4),"·","")))</f>
        <v/>
      </c>
      <c r="X40" s="8" t="str">
        <f>IF(OR(ACTIVIDADES!$I40="",W$4=""),"",IF(ACTIVIDADES!$I40=W$4,"●",IF(AND(ACTIVIDADES!$H40&lt;=W$4,ACTIVIDADES!$I40&gt;=W$4),"·","")))</f>
        <v/>
      </c>
      <c r="Y40" s="8" t="str">
        <f>IF(OR(ACTIVIDADES!$I40="",X$4=""),"",IF(ACTIVIDADES!$I40=X$4,"●",IF(AND(ACTIVIDADES!$H40&lt;=X$4,ACTIVIDADES!$I40&gt;=X$4),"·","")))</f>
        <v/>
      </c>
      <c r="Z40" s="8" t="str">
        <f>IF(OR(ACTIVIDADES!$I40="",Y$4=""),"",IF(ACTIVIDADES!$I40=Y$4,"●",IF(AND(ACTIVIDADES!$H40&lt;=Y$4,ACTIVIDADES!$I40&gt;=Y$4),"·","")))</f>
        <v/>
      </c>
      <c r="AA40" s="8" t="str">
        <f>IF(OR(ACTIVIDADES!$I40="",Z$4=""),"",IF(ACTIVIDADES!$I40=Z$4,"●",IF(AND(ACTIVIDADES!$H40&lt;=Z$4,ACTIVIDADES!$I40&gt;=Z$4),"·","")))</f>
        <v/>
      </c>
      <c r="AB40" s="8" t="str">
        <f>IF(OR(ACTIVIDADES!$I40="",AA$4=""),"",IF(ACTIVIDADES!$I40=AA$4,"●",IF(AND(ACTIVIDADES!$H40&lt;=AA$4,ACTIVIDADES!$I40&gt;=AA$4),"·","")))</f>
        <v/>
      </c>
      <c r="AC40" s="8" t="str">
        <f>IF(OR(ACTIVIDADES!$I40="",AB$4=""),"",IF(ACTIVIDADES!$I40=AB$4,"●",IF(AND(ACTIVIDADES!$H40&lt;=AB$4,ACTIVIDADES!$I40&gt;=AB$4),"·","")))</f>
        <v/>
      </c>
      <c r="AD40" s="8" t="str">
        <f>IF(OR(ACTIVIDADES!$I40="",AC$4=""),"",IF(ACTIVIDADES!$I40=AC$4,"●",IF(AND(ACTIVIDADES!$H40&lt;=AC$4,ACTIVIDADES!$I40&gt;=AC$4),"·","")))</f>
        <v/>
      </c>
      <c r="AE40" s="8" t="str">
        <f>IF(OR(ACTIVIDADES!$I40="",AD$4=""),"",IF(ACTIVIDADES!$I40=AD$4,"●",IF(AND(ACTIVIDADES!$H40&lt;=AD$4,ACTIVIDADES!$I40&gt;=AD$4),"·","")))</f>
        <v/>
      </c>
      <c r="AF40" s="8" t="str">
        <f>IF(OR(ACTIVIDADES!$I40="",AE$4=""),"",IF(ACTIVIDADES!$I40=AE$4,"●",IF(AND(ACTIVIDADES!$H40&lt;=AE$4,ACTIVIDADES!$I40&gt;=AE$4),"·","")))</f>
        <v/>
      </c>
      <c r="AG40" s="8" t="str">
        <f>IF(OR(ACTIVIDADES!$I40="",AF$4=""),"",IF(ACTIVIDADES!$I40=AF$4,"●",IF(AND(ACTIVIDADES!$H40&lt;=AF$4,ACTIVIDADES!$I40&gt;=AF$4),"·","")))</f>
        <v/>
      </c>
      <c r="AH40" s="8" t="str">
        <f>IF(OR(ACTIVIDADES!$I40="",AG$4=""),"",IF(ACTIVIDADES!$I40=AG$4,"●",IF(AND(ACTIVIDADES!$H40&lt;=AG$4,ACTIVIDADES!$I40&gt;=AG$4),"·","")))</f>
        <v/>
      </c>
      <c r="AI40" s="8" t="str">
        <f>IF(OR(ACTIVIDADES!$I40="",AH$4=""),"",IF(ACTIVIDADES!$I40=AH$4,"●",IF(AND(ACTIVIDADES!$H40&lt;=AH$4,ACTIVIDADES!$I40&gt;=AH$4),"·","")))</f>
        <v/>
      </c>
      <c r="AJ40" t="str">
        <f>IF(ACTIVIDADES!K40="","",ACTIVIDADES!K40)</f>
        <v>Pendiente</v>
      </c>
    </row>
    <row r="41" spans="1:36">
      <c r="A41" t="str">
        <f>IF(ACTIVIDADES!A41="","",ACTIVIDADES!A41)</f>
        <v>06.02</v>
      </c>
      <c r="B41" t="str">
        <f>IF(ACTIVIDADES!B41="","",ACTIVIDADES!B41)</f>
        <v>CELEC - ORIENTE</v>
      </c>
      <c r="C41" t="str">
        <f>IF(ACTIVIDADES!C41="","",ACTIVIDADES!C41)</f>
        <v>Abastecimiento</v>
      </c>
      <c r="D41" t="str">
        <f>IF(ACTIVIDADES!D41="","",ACTIVIDADES!D41)</f>
        <v>Solicitar requerimientos de insumos</v>
      </c>
      <c r="E41" s="8" t="str">
        <f>IF(OR(ACTIVIDADES!$I41="",D$4=""),"",IF(ACTIVIDADES!$I41=D$4,"●",IF(AND(ACTIVIDADES!$H41&lt;=D$4,ACTIVIDADES!$I41&gt;=D$4),"·","")))</f>
        <v/>
      </c>
      <c r="F41" s="8" t="str">
        <f>IF(OR(ACTIVIDADES!$I41="",E$4=""),"",IF(ACTIVIDADES!$I41=E$4,"●",IF(AND(ACTIVIDADES!$H41&lt;=E$4,ACTIVIDADES!$I41&gt;=E$4),"·","")))</f>
        <v/>
      </c>
      <c r="G41" s="8" t="str">
        <f>IF(OR(ACTIVIDADES!$I41="",F$4=""),"",IF(ACTIVIDADES!$I41=F$4,"●",IF(AND(ACTIVIDADES!$H41&lt;=F$4,ACTIVIDADES!$I41&gt;=F$4),"·","")))</f>
        <v/>
      </c>
      <c r="H41" s="8" t="str">
        <f>IF(OR(ACTIVIDADES!$I41="",G$4=""),"",IF(ACTIVIDADES!$I41=G$4,"●",IF(AND(ACTIVIDADES!$H41&lt;=G$4,ACTIVIDADES!$I41&gt;=G$4),"·","")))</f>
        <v/>
      </c>
      <c r="I41" s="8" t="str">
        <f>IF(OR(ACTIVIDADES!$I41="",H$4=""),"",IF(ACTIVIDADES!$I41=H$4,"●",IF(AND(ACTIVIDADES!$H41&lt;=H$4,ACTIVIDADES!$I41&gt;=H$4),"·","")))</f>
        <v/>
      </c>
      <c r="J41" s="8" t="str">
        <f>IF(OR(ACTIVIDADES!$I41="",I$4=""),"",IF(ACTIVIDADES!$I41=I$4,"●",IF(AND(ACTIVIDADES!$H41&lt;=I$4,ACTIVIDADES!$I41&gt;=I$4),"·","")))</f>
        <v/>
      </c>
      <c r="K41" s="8" t="str">
        <f>IF(OR(ACTIVIDADES!$I41="",J$4=""),"",IF(ACTIVIDADES!$I41=J$4,"●",IF(AND(ACTIVIDADES!$H41&lt;=J$4,ACTIVIDADES!$I41&gt;=J$4),"·","")))</f>
        <v/>
      </c>
      <c r="L41" s="8" t="str">
        <f>IF(OR(ACTIVIDADES!$I41="",K$4=""),"",IF(ACTIVIDADES!$I41=K$4,"●",IF(AND(ACTIVIDADES!$H41&lt;=K$4,ACTIVIDADES!$I41&gt;=K$4),"·","")))</f>
        <v/>
      </c>
      <c r="M41" s="8" t="str">
        <f>IF(OR(ACTIVIDADES!$I41="",L$4=""),"",IF(ACTIVIDADES!$I41=L$4,"●",IF(AND(ACTIVIDADES!$H41&lt;=L$4,ACTIVIDADES!$I41&gt;=L$4),"·","")))</f>
        <v/>
      </c>
      <c r="N41" s="8" t="str">
        <f>IF(OR(ACTIVIDADES!$I41="",M$4=""),"",IF(ACTIVIDADES!$I41=M$4,"●",IF(AND(ACTIVIDADES!$H41&lt;=M$4,ACTIVIDADES!$I41&gt;=M$4),"·","")))</f>
        <v/>
      </c>
      <c r="O41" s="8" t="str">
        <f>IF(OR(ACTIVIDADES!$I41="",N$4=""),"",IF(ACTIVIDADES!$I41=N$4,"●",IF(AND(ACTIVIDADES!$H41&lt;=N$4,ACTIVIDADES!$I41&gt;=N$4),"·","")))</f>
        <v/>
      </c>
      <c r="P41" s="8" t="str">
        <f>IF(OR(ACTIVIDADES!$I41="",O$4=""),"",IF(ACTIVIDADES!$I41=O$4,"●",IF(AND(ACTIVIDADES!$H41&lt;=O$4,ACTIVIDADES!$I41&gt;=O$4),"·","")))</f>
        <v/>
      </c>
      <c r="Q41" s="8" t="str">
        <f>IF(OR(ACTIVIDADES!$I41="",P$4=""),"",IF(ACTIVIDADES!$I41=P$4,"●",IF(AND(ACTIVIDADES!$H41&lt;=P$4,ACTIVIDADES!$I41&gt;=P$4),"·","")))</f>
        <v/>
      </c>
      <c r="R41" s="8" t="str">
        <f>IF(OR(ACTIVIDADES!$I41="",Q$4=""),"",IF(ACTIVIDADES!$I41=Q$4,"●",IF(AND(ACTIVIDADES!$H41&lt;=Q$4,ACTIVIDADES!$I41&gt;=Q$4),"·","")))</f>
        <v/>
      </c>
      <c r="S41" s="8" t="str">
        <f>IF(OR(ACTIVIDADES!$I41="",R$4=""),"",IF(ACTIVIDADES!$I41=R$4,"●",IF(AND(ACTIVIDADES!$H41&lt;=R$4,ACTIVIDADES!$I41&gt;=R$4),"·","")))</f>
        <v/>
      </c>
      <c r="T41" s="8" t="str">
        <f>IF(OR(ACTIVIDADES!$I41="",S$4=""),"",IF(ACTIVIDADES!$I41=S$4,"●",IF(AND(ACTIVIDADES!$H41&lt;=S$4,ACTIVIDADES!$I41&gt;=S$4),"·","")))</f>
        <v/>
      </c>
      <c r="U41" s="8" t="str">
        <f>IF(OR(ACTIVIDADES!$I41="",T$4=""),"",IF(ACTIVIDADES!$I41=T$4,"●",IF(AND(ACTIVIDADES!$H41&lt;=T$4,ACTIVIDADES!$I41&gt;=T$4),"·","")))</f>
        <v/>
      </c>
      <c r="V41" s="8" t="str">
        <f>IF(OR(ACTIVIDADES!$I41="",U$4=""),"",IF(ACTIVIDADES!$I41=U$4,"●",IF(AND(ACTIVIDADES!$H41&lt;=U$4,ACTIVIDADES!$I41&gt;=U$4),"·","")))</f>
        <v/>
      </c>
      <c r="W41" s="8" t="str">
        <f>IF(OR(ACTIVIDADES!$I41="",V$4=""),"",IF(ACTIVIDADES!$I41=V$4,"●",IF(AND(ACTIVIDADES!$H41&lt;=V$4,ACTIVIDADES!$I41&gt;=V$4),"·","")))</f>
        <v/>
      </c>
      <c r="X41" s="8" t="str">
        <f>IF(OR(ACTIVIDADES!$I41="",W$4=""),"",IF(ACTIVIDADES!$I41=W$4,"●",IF(AND(ACTIVIDADES!$H41&lt;=W$4,ACTIVIDADES!$I41&gt;=W$4),"·","")))</f>
        <v/>
      </c>
      <c r="Y41" s="8" t="str">
        <f>IF(OR(ACTIVIDADES!$I41="",X$4=""),"",IF(ACTIVIDADES!$I41=X$4,"●",IF(AND(ACTIVIDADES!$H41&lt;=X$4,ACTIVIDADES!$I41&gt;=X$4),"·","")))</f>
        <v/>
      </c>
      <c r="Z41" s="8" t="str">
        <f>IF(OR(ACTIVIDADES!$I41="",Y$4=""),"",IF(ACTIVIDADES!$I41=Y$4,"●",IF(AND(ACTIVIDADES!$H41&lt;=Y$4,ACTIVIDADES!$I41&gt;=Y$4),"·","")))</f>
        <v/>
      </c>
      <c r="AA41" s="8" t="str">
        <f>IF(OR(ACTIVIDADES!$I41="",Z$4=""),"",IF(ACTIVIDADES!$I41=Z$4,"●",IF(AND(ACTIVIDADES!$H41&lt;=Z$4,ACTIVIDADES!$I41&gt;=Z$4),"·","")))</f>
        <v/>
      </c>
      <c r="AB41" s="8" t="str">
        <f>IF(OR(ACTIVIDADES!$I41="",AA$4=""),"",IF(ACTIVIDADES!$I41=AA$4,"●",IF(AND(ACTIVIDADES!$H41&lt;=AA$4,ACTIVIDADES!$I41&gt;=AA$4),"·","")))</f>
        <v/>
      </c>
      <c r="AC41" s="8" t="str">
        <f>IF(OR(ACTIVIDADES!$I41="",AB$4=""),"",IF(ACTIVIDADES!$I41=AB$4,"●",IF(AND(ACTIVIDADES!$H41&lt;=AB$4,ACTIVIDADES!$I41&gt;=AB$4),"·","")))</f>
        <v/>
      </c>
      <c r="AD41" s="8" t="str">
        <f>IF(OR(ACTIVIDADES!$I41="",AC$4=""),"",IF(ACTIVIDADES!$I41=AC$4,"●",IF(AND(ACTIVIDADES!$H41&lt;=AC$4,ACTIVIDADES!$I41&gt;=AC$4),"·","")))</f>
        <v/>
      </c>
      <c r="AE41" s="8" t="str">
        <f>IF(OR(ACTIVIDADES!$I41="",AD$4=""),"",IF(ACTIVIDADES!$I41=AD$4,"●",IF(AND(ACTIVIDADES!$H41&lt;=AD$4,ACTIVIDADES!$I41&gt;=AD$4),"·","")))</f>
        <v/>
      </c>
      <c r="AF41" s="8" t="str">
        <f>IF(OR(ACTIVIDADES!$I41="",AE$4=""),"",IF(ACTIVIDADES!$I41=AE$4,"●",IF(AND(ACTIVIDADES!$H41&lt;=AE$4,ACTIVIDADES!$I41&gt;=AE$4),"·","")))</f>
        <v/>
      </c>
      <c r="AG41" s="8" t="str">
        <f>IF(OR(ACTIVIDADES!$I41="",AF$4=""),"",IF(ACTIVIDADES!$I41=AF$4,"●",IF(AND(ACTIVIDADES!$H41&lt;=AF$4,ACTIVIDADES!$I41&gt;=AF$4),"·","")))</f>
        <v/>
      </c>
      <c r="AH41" s="8" t="str">
        <f>IF(OR(ACTIVIDADES!$I41="",AG$4=""),"",IF(ACTIVIDADES!$I41=AG$4,"●",IF(AND(ACTIVIDADES!$H41&lt;=AG$4,ACTIVIDADES!$I41&gt;=AG$4),"·","")))</f>
        <v/>
      </c>
      <c r="AI41" s="8" t="str">
        <f>IF(OR(ACTIVIDADES!$I41="",AH$4=""),"",IF(ACTIVIDADES!$I41=AH$4,"●",IF(AND(ACTIVIDADES!$H41&lt;=AH$4,ACTIVIDADES!$I41&gt;=AH$4),"·","")))</f>
        <v/>
      </c>
      <c r="AJ41" t="str">
        <f>IF(ACTIVIDADES!K41="","",ACTIVIDADES!K41)</f>
        <v>Pendiente</v>
      </c>
    </row>
    <row r="42" spans="1:36">
      <c r="A42" t="str">
        <f>IF(ACTIVIDADES!A42="","",ACTIVIDADES!A42)</f>
        <v>06.03</v>
      </c>
      <c r="B42" t="str">
        <f>IF(ACTIVIDADES!B42="","",ACTIVIDADES!B42)</f>
        <v>CELEC - ORIENTE</v>
      </c>
      <c r="C42" t="str">
        <f>IF(ACTIVIDADES!C42="","",ACTIVIDADES!C42)</f>
        <v>Corte</v>
      </c>
      <c r="D42" t="str">
        <f>IF(ACTIVIDADES!D42="","",ACTIVIDADES!D42)</f>
        <v>Preparar y entregar corte del día 5</v>
      </c>
      <c r="E42" s="8" t="str">
        <f>IF(OR(ACTIVIDADES!$I42="",D$4=""),"",IF(ACTIVIDADES!$I42=D$4,"●",IF(AND(ACTIVIDADES!$H42&lt;=D$4,ACTIVIDADES!$I42&gt;=D$4),"·","")))</f>
        <v/>
      </c>
      <c r="F42" s="8" t="str">
        <f>IF(OR(ACTIVIDADES!$I42="",E$4=""),"",IF(ACTIVIDADES!$I42=E$4,"●",IF(AND(ACTIVIDADES!$H42&lt;=E$4,ACTIVIDADES!$I42&gt;=E$4),"·","")))</f>
        <v/>
      </c>
      <c r="G42" s="8" t="str">
        <f>IF(OR(ACTIVIDADES!$I42="",F$4=""),"",IF(ACTIVIDADES!$I42=F$4,"●",IF(AND(ACTIVIDADES!$H42&lt;=F$4,ACTIVIDADES!$I42&gt;=F$4),"·","")))</f>
        <v/>
      </c>
      <c r="H42" s="8" t="str">
        <f>IF(OR(ACTIVIDADES!$I42="",G$4=""),"",IF(ACTIVIDADES!$I42=G$4,"●",IF(AND(ACTIVIDADES!$H42&lt;=G$4,ACTIVIDADES!$I42&gt;=G$4),"·","")))</f>
        <v/>
      </c>
      <c r="I42" s="8" t="str">
        <f>IF(OR(ACTIVIDADES!$I42="",H$4=""),"",IF(ACTIVIDADES!$I42=H$4,"●",IF(AND(ACTIVIDADES!$H42&lt;=H$4,ACTIVIDADES!$I42&gt;=H$4),"·","")))</f>
        <v/>
      </c>
      <c r="J42" s="8" t="str">
        <f>IF(OR(ACTIVIDADES!$I42="",I$4=""),"",IF(ACTIVIDADES!$I42=I$4,"●",IF(AND(ACTIVIDADES!$H42&lt;=I$4,ACTIVIDADES!$I42&gt;=I$4),"·","")))</f>
        <v>●</v>
      </c>
      <c r="K42" s="8" t="str">
        <f>IF(OR(ACTIVIDADES!$I42="",J$4=""),"",IF(ACTIVIDADES!$I42=J$4,"●",IF(AND(ACTIVIDADES!$H42&lt;=J$4,ACTIVIDADES!$I42&gt;=J$4),"·","")))</f>
        <v/>
      </c>
      <c r="L42" s="8" t="str">
        <f>IF(OR(ACTIVIDADES!$I42="",K$4=""),"",IF(ACTIVIDADES!$I42=K$4,"●",IF(AND(ACTIVIDADES!$H42&lt;=K$4,ACTIVIDADES!$I42&gt;=K$4),"·","")))</f>
        <v/>
      </c>
      <c r="M42" s="8" t="str">
        <f>IF(OR(ACTIVIDADES!$I42="",L$4=""),"",IF(ACTIVIDADES!$I42=L$4,"●",IF(AND(ACTIVIDADES!$H42&lt;=L$4,ACTIVIDADES!$I42&gt;=L$4),"·","")))</f>
        <v/>
      </c>
      <c r="N42" s="8" t="str">
        <f>IF(OR(ACTIVIDADES!$I42="",M$4=""),"",IF(ACTIVIDADES!$I42=M$4,"●",IF(AND(ACTIVIDADES!$H42&lt;=M$4,ACTIVIDADES!$I42&gt;=M$4),"·","")))</f>
        <v/>
      </c>
      <c r="O42" s="8" t="str">
        <f>IF(OR(ACTIVIDADES!$I42="",N$4=""),"",IF(ACTIVIDADES!$I42=N$4,"●",IF(AND(ACTIVIDADES!$H42&lt;=N$4,ACTIVIDADES!$I42&gt;=N$4),"·","")))</f>
        <v/>
      </c>
      <c r="P42" s="8" t="str">
        <f>IF(OR(ACTIVIDADES!$I42="",O$4=""),"",IF(ACTIVIDADES!$I42=O$4,"●",IF(AND(ACTIVIDADES!$H42&lt;=O$4,ACTIVIDADES!$I42&gt;=O$4),"·","")))</f>
        <v/>
      </c>
      <c r="Q42" s="8" t="str">
        <f>IF(OR(ACTIVIDADES!$I42="",P$4=""),"",IF(ACTIVIDADES!$I42=P$4,"●",IF(AND(ACTIVIDADES!$H42&lt;=P$4,ACTIVIDADES!$I42&gt;=P$4),"·","")))</f>
        <v/>
      </c>
      <c r="R42" s="8" t="str">
        <f>IF(OR(ACTIVIDADES!$I42="",Q$4=""),"",IF(ACTIVIDADES!$I42=Q$4,"●",IF(AND(ACTIVIDADES!$H42&lt;=Q$4,ACTIVIDADES!$I42&gt;=Q$4),"·","")))</f>
        <v/>
      </c>
      <c r="S42" s="8" t="str">
        <f>IF(OR(ACTIVIDADES!$I42="",R$4=""),"",IF(ACTIVIDADES!$I42=R$4,"●",IF(AND(ACTIVIDADES!$H42&lt;=R$4,ACTIVIDADES!$I42&gt;=R$4),"·","")))</f>
        <v/>
      </c>
      <c r="T42" s="8" t="str">
        <f>IF(OR(ACTIVIDADES!$I42="",S$4=""),"",IF(ACTIVIDADES!$I42=S$4,"●",IF(AND(ACTIVIDADES!$H42&lt;=S$4,ACTIVIDADES!$I42&gt;=S$4),"·","")))</f>
        <v/>
      </c>
      <c r="U42" s="8" t="str">
        <f>IF(OR(ACTIVIDADES!$I42="",T$4=""),"",IF(ACTIVIDADES!$I42=T$4,"●",IF(AND(ACTIVIDADES!$H42&lt;=T$4,ACTIVIDADES!$I42&gt;=T$4),"·","")))</f>
        <v/>
      </c>
      <c r="V42" s="8" t="str">
        <f>IF(OR(ACTIVIDADES!$I42="",U$4=""),"",IF(ACTIVIDADES!$I42=U$4,"●",IF(AND(ACTIVIDADES!$H42&lt;=U$4,ACTIVIDADES!$I42&gt;=U$4),"·","")))</f>
        <v/>
      </c>
      <c r="W42" s="8" t="str">
        <f>IF(OR(ACTIVIDADES!$I42="",V$4=""),"",IF(ACTIVIDADES!$I42=V$4,"●",IF(AND(ACTIVIDADES!$H42&lt;=V$4,ACTIVIDADES!$I42&gt;=V$4),"·","")))</f>
        <v/>
      </c>
      <c r="X42" s="8" t="str">
        <f>IF(OR(ACTIVIDADES!$I42="",W$4=""),"",IF(ACTIVIDADES!$I42=W$4,"●",IF(AND(ACTIVIDADES!$H42&lt;=W$4,ACTIVIDADES!$I42&gt;=W$4),"·","")))</f>
        <v/>
      </c>
      <c r="Y42" s="8" t="str">
        <f>IF(OR(ACTIVIDADES!$I42="",X$4=""),"",IF(ACTIVIDADES!$I42=X$4,"●",IF(AND(ACTIVIDADES!$H42&lt;=X$4,ACTIVIDADES!$I42&gt;=X$4),"·","")))</f>
        <v/>
      </c>
      <c r="Z42" s="8" t="str">
        <f>IF(OR(ACTIVIDADES!$I42="",Y$4=""),"",IF(ACTIVIDADES!$I42=Y$4,"●",IF(AND(ACTIVIDADES!$H42&lt;=Y$4,ACTIVIDADES!$I42&gt;=Y$4),"·","")))</f>
        <v/>
      </c>
      <c r="AA42" s="8" t="str">
        <f>IF(OR(ACTIVIDADES!$I42="",Z$4=""),"",IF(ACTIVIDADES!$I42=Z$4,"●",IF(AND(ACTIVIDADES!$H42&lt;=Z$4,ACTIVIDADES!$I42&gt;=Z$4),"·","")))</f>
        <v/>
      </c>
      <c r="AB42" s="8" t="str">
        <f>IF(OR(ACTIVIDADES!$I42="",AA$4=""),"",IF(ACTIVIDADES!$I42=AA$4,"●",IF(AND(ACTIVIDADES!$H42&lt;=AA$4,ACTIVIDADES!$I42&gt;=AA$4),"·","")))</f>
        <v/>
      </c>
      <c r="AC42" s="8" t="str">
        <f>IF(OR(ACTIVIDADES!$I42="",AB$4=""),"",IF(ACTIVIDADES!$I42=AB$4,"●",IF(AND(ACTIVIDADES!$H42&lt;=AB$4,ACTIVIDADES!$I42&gt;=AB$4),"·","")))</f>
        <v/>
      </c>
      <c r="AD42" s="8" t="str">
        <f>IF(OR(ACTIVIDADES!$I42="",AC$4=""),"",IF(ACTIVIDADES!$I42=AC$4,"●",IF(AND(ACTIVIDADES!$H42&lt;=AC$4,ACTIVIDADES!$I42&gt;=AC$4),"·","")))</f>
        <v/>
      </c>
      <c r="AE42" s="8" t="str">
        <f>IF(OR(ACTIVIDADES!$I42="",AD$4=""),"",IF(ACTIVIDADES!$I42=AD$4,"●",IF(AND(ACTIVIDADES!$H42&lt;=AD$4,ACTIVIDADES!$I42&gt;=AD$4),"·","")))</f>
        <v/>
      </c>
      <c r="AF42" s="8" t="str">
        <f>IF(OR(ACTIVIDADES!$I42="",AE$4=""),"",IF(ACTIVIDADES!$I42=AE$4,"●",IF(AND(ACTIVIDADES!$H42&lt;=AE$4,ACTIVIDADES!$I42&gt;=AE$4),"·","")))</f>
        <v/>
      </c>
      <c r="AG42" s="8" t="str">
        <f>IF(OR(ACTIVIDADES!$I42="",AF$4=""),"",IF(ACTIVIDADES!$I42=AF$4,"●",IF(AND(ACTIVIDADES!$H42&lt;=AF$4,ACTIVIDADES!$I42&gt;=AF$4),"·","")))</f>
        <v/>
      </c>
      <c r="AH42" s="8" t="str">
        <f>IF(OR(ACTIVIDADES!$I42="",AG$4=""),"",IF(ACTIVIDADES!$I42=AG$4,"●",IF(AND(ACTIVIDADES!$H42&lt;=AG$4,ACTIVIDADES!$I42&gt;=AG$4),"·","")))</f>
        <v/>
      </c>
      <c r="AI42" s="8" t="str">
        <f>IF(OR(ACTIVIDADES!$I42="",AH$4=""),"",IF(ACTIVIDADES!$I42=AH$4,"●",IF(AND(ACTIVIDADES!$H42&lt;=AH$4,ACTIVIDADES!$I42&gt;=AH$4),"·","")))</f>
        <v/>
      </c>
      <c r="AJ42" t="str">
        <f>IF(ACTIVIDADES!K42="","",ACTIVIDADES!K42)</f>
        <v>Cerrado</v>
      </c>
    </row>
    <row r="43" spans="1:36">
      <c r="A43" t="str">
        <f>IF(ACTIVIDADES!A43="","",ACTIVIDADES!A43)</f>
        <v>06.04</v>
      </c>
      <c r="B43" t="str">
        <f>IF(ACTIVIDADES!B43="","",ACTIVIDADES!B43)</f>
        <v>CELEC - ORIENTE</v>
      </c>
      <c r="C43" t="str">
        <f>IF(ACTIVIDADES!C43="","",ACTIVIDADES!C43)</f>
        <v>Corte</v>
      </c>
      <c r="D43" t="str">
        <f>IF(ACTIVIDADES!D43="","",ACTIVIDADES!D43)</f>
        <v>Preparar y entregar corte del día 10</v>
      </c>
      <c r="E43" s="8" t="str">
        <f>IF(OR(ACTIVIDADES!$I43="",D$4=""),"",IF(ACTIVIDADES!$I43=D$4,"●",IF(AND(ACTIVIDADES!$H43&lt;=D$4,ACTIVIDADES!$I43&gt;=D$4),"·","")))</f>
        <v/>
      </c>
      <c r="F43" s="8" t="str">
        <f>IF(OR(ACTIVIDADES!$I43="",E$4=""),"",IF(ACTIVIDADES!$I43=E$4,"●",IF(AND(ACTIVIDADES!$H43&lt;=E$4,ACTIVIDADES!$I43&gt;=E$4),"·","")))</f>
        <v/>
      </c>
      <c r="G43" s="8" t="str">
        <f>IF(OR(ACTIVIDADES!$I43="",F$4=""),"",IF(ACTIVIDADES!$I43=F$4,"●",IF(AND(ACTIVIDADES!$H43&lt;=F$4,ACTIVIDADES!$I43&gt;=F$4),"·","")))</f>
        <v/>
      </c>
      <c r="H43" s="8" t="str">
        <f>IF(OR(ACTIVIDADES!$I43="",G$4=""),"",IF(ACTIVIDADES!$I43=G$4,"●",IF(AND(ACTIVIDADES!$H43&lt;=G$4,ACTIVIDADES!$I43&gt;=G$4),"·","")))</f>
        <v/>
      </c>
      <c r="I43" s="8" t="str">
        <f>IF(OR(ACTIVIDADES!$I43="",H$4=""),"",IF(ACTIVIDADES!$I43=H$4,"●",IF(AND(ACTIVIDADES!$H43&lt;=H$4,ACTIVIDADES!$I43&gt;=H$4),"·","")))</f>
        <v/>
      </c>
      <c r="J43" s="8" t="str">
        <f>IF(OR(ACTIVIDADES!$I43="",I$4=""),"",IF(ACTIVIDADES!$I43=I$4,"●",IF(AND(ACTIVIDADES!$H43&lt;=I$4,ACTIVIDADES!$I43&gt;=I$4),"·","")))</f>
        <v/>
      </c>
      <c r="K43" s="8" t="str">
        <f>IF(OR(ACTIVIDADES!$I43="",J$4=""),"",IF(ACTIVIDADES!$I43=J$4,"●",IF(AND(ACTIVIDADES!$H43&lt;=J$4,ACTIVIDADES!$I43&gt;=J$4),"·","")))</f>
        <v/>
      </c>
      <c r="L43" s="8" t="str">
        <f>IF(OR(ACTIVIDADES!$I43="",K$4=""),"",IF(ACTIVIDADES!$I43=K$4,"●",IF(AND(ACTIVIDADES!$H43&lt;=K$4,ACTIVIDADES!$I43&gt;=K$4),"·","")))</f>
        <v/>
      </c>
      <c r="M43" s="8" t="str">
        <f>IF(OR(ACTIVIDADES!$I43="",L$4=""),"",IF(ACTIVIDADES!$I43=L$4,"●",IF(AND(ACTIVIDADES!$H43&lt;=L$4,ACTIVIDADES!$I43&gt;=L$4),"·","")))</f>
        <v/>
      </c>
      <c r="N43" s="8" t="str">
        <f>IF(OR(ACTIVIDADES!$I43="",M$4=""),"",IF(ACTIVIDADES!$I43=M$4,"●",IF(AND(ACTIVIDADES!$H43&lt;=M$4,ACTIVIDADES!$I43&gt;=M$4),"·","")))</f>
        <v/>
      </c>
      <c r="O43" s="8" t="str">
        <f>IF(OR(ACTIVIDADES!$I43="",N$4=""),"",IF(ACTIVIDADES!$I43=N$4,"●",IF(AND(ACTIVIDADES!$H43&lt;=N$4,ACTIVIDADES!$I43&gt;=N$4),"·","")))</f>
        <v>●</v>
      </c>
      <c r="P43" s="8" t="str">
        <f>IF(OR(ACTIVIDADES!$I43="",O$4=""),"",IF(ACTIVIDADES!$I43=O$4,"●",IF(AND(ACTIVIDADES!$H43&lt;=O$4,ACTIVIDADES!$I43&gt;=O$4),"·","")))</f>
        <v/>
      </c>
      <c r="Q43" s="8" t="str">
        <f>IF(OR(ACTIVIDADES!$I43="",P$4=""),"",IF(ACTIVIDADES!$I43=P$4,"●",IF(AND(ACTIVIDADES!$H43&lt;=P$4,ACTIVIDADES!$I43&gt;=P$4),"·","")))</f>
        <v/>
      </c>
      <c r="R43" s="8" t="str">
        <f>IF(OR(ACTIVIDADES!$I43="",Q$4=""),"",IF(ACTIVIDADES!$I43=Q$4,"●",IF(AND(ACTIVIDADES!$H43&lt;=Q$4,ACTIVIDADES!$I43&gt;=Q$4),"·","")))</f>
        <v/>
      </c>
      <c r="S43" s="8" t="str">
        <f>IF(OR(ACTIVIDADES!$I43="",R$4=""),"",IF(ACTIVIDADES!$I43=R$4,"●",IF(AND(ACTIVIDADES!$H43&lt;=R$4,ACTIVIDADES!$I43&gt;=R$4),"·","")))</f>
        <v/>
      </c>
      <c r="T43" s="8" t="str">
        <f>IF(OR(ACTIVIDADES!$I43="",S$4=""),"",IF(ACTIVIDADES!$I43=S$4,"●",IF(AND(ACTIVIDADES!$H43&lt;=S$4,ACTIVIDADES!$I43&gt;=S$4),"·","")))</f>
        <v/>
      </c>
      <c r="U43" s="8" t="str">
        <f>IF(OR(ACTIVIDADES!$I43="",T$4=""),"",IF(ACTIVIDADES!$I43=T$4,"●",IF(AND(ACTIVIDADES!$H43&lt;=T$4,ACTIVIDADES!$I43&gt;=T$4),"·","")))</f>
        <v/>
      </c>
      <c r="V43" s="8" t="str">
        <f>IF(OR(ACTIVIDADES!$I43="",U$4=""),"",IF(ACTIVIDADES!$I43=U$4,"●",IF(AND(ACTIVIDADES!$H43&lt;=U$4,ACTIVIDADES!$I43&gt;=U$4),"·","")))</f>
        <v/>
      </c>
      <c r="W43" s="8" t="str">
        <f>IF(OR(ACTIVIDADES!$I43="",V$4=""),"",IF(ACTIVIDADES!$I43=V$4,"●",IF(AND(ACTIVIDADES!$H43&lt;=V$4,ACTIVIDADES!$I43&gt;=V$4),"·","")))</f>
        <v/>
      </c>
      <c r="X43" s="8" t="str">
        <f>IF(OR(ACTIVIDADES!$I43="",W$4=""),"",IF(ACTIVIDADES!$I43=W$4,"●",IF(AND(ACTIVIDADES!$H43&lt;=W$4,ACTIVIDADES!$I43&gt;=W$4),"·","")))</f>
        <v/>
      </c>
      <c r="Y43" s="8" t="str">
        <f>IF(OR(ACTIVIDADES!$I43="",X$4=""),"",IF(ACTIVIDADES!$I43=X$4,"●",IF(AND(ACTIVIDADES!$H43&lt;=X$4,ACTIVIDADES!$I43&gt;=X$4),"·","")))</f>
        <v/>
      </c>
      <c r="Z43" s="8" t="str">
        <f>IF(OR(ACTIVIDADES!$I43="",Y$4=""),"",IF(ACTIVIDADES!$I43=Y$4,"●",IF(AND(ACTIVIDADES!$H43&lt;=Y$4,ACTIVIDADES!$I43&gt;=Y$4),"·","")))</f>
        <v/>
      </c>
      <c r="AA43" s="8" t="str">
        <f>IF(OR(ACTIVIDADES!$I43="",Z$4=""),"",IF(ACTIVIDADES!$I43=Z$4,"●",IF(AND(ACTIVIDADES!$H43&lt;=Z$4,ACTIVIDADES!$I43&gt;=Z$4),"·","")))</f>
        <v/>
      </c>
      <c r="AB43" s="8" t="str">
        <f>IF(OR(ACTIVIDADES!$I43="",AA$4=""),"",IF(ACTIVIDADES!$I43=AA$4,"●",IF(AND(ACTIVIDADES!$H43&lt;=AA$4,ACTIVIDADES!$I43&gt;=AA$4),"·","")))</f>
        <v/>
      </c>
      <c r="AC43" s="8" t="str">
        <f>IF(OR(ACTIVIDADES!$I43="",AB$4=""),"",IF(ACTIVIDADES!$I43=AB$4,"●",IF(AND(ACTIVIDADES!$H43&lt;=AB$4,ACTIVIDADES!$I43&gt;=AB$4),"·","")))</f>
        <v/>
      </c>
      <c r="AD43" s="8" t="str">
        <f>IF(OR(ACTIVIDADES!$I43="",AC$4=""),"",IF(ACTIVIDADES!$I43=AC$4,"●",IF(AND(ACTIVIDADES!$H43&lt;=AC$4,ACTIVIDADES!$I43&gt;=AC$4),"·","")))</f>
        <v/>
      </c>
      <c r="AE43" s="8" t="str">
        <f>IF(OR(ACTIVIDADES!$I43="",AD$4=""),"",IF(ACTIVIDADES!$I43=AD$4,"●",IF(AND(ACTIVIDADES!$H43&lt;=AD$4,ACTIVIDADES!$I43&gt;=AD$4),"·","")))</f>
        <v/>
      </c>
      <c r="AF43" s="8" t="str">
        <f>IF(OR(ACTIVIDADES!$I43="",AE$4=""),"",IF(ACTIVIDADES!$I43=AE$4,"●",IF(AND(ACTIVIDADES!$H43&lt;=AE$4,ACTIVIDADES!$I43&gt;=AE$4),"·","")))</f>
        <v/>
      </c>
      <c r="AG43" s="8" t="str">
        <f>IF(OR(ACTIVIDADES!$I43="",AF$4=""),"",IF(ACTIVIDADES!$I43=AF$4,"●",IF(AND(ACTIVIDADES!$H43&lt;=AF$4,ACTIVIDADES!$I43&gt;=AF$4),"·","")))</f>
        <v/>
      </c>
      <c r="AH43" s="8" t="str">
        <f>IF(OR(ACTIVIDADES!$I43="",AG$4=""),"",IF(ACTIVIDADES!$I43=AG$4,"●",IF(AND(ACTIVIDADES!$H43&lt;=AG$4,ACTIVIDADES!$I43&gt;=AG$4),"·","")))</f>
        <v/>
      </c>
      <c r="AI43" s="8" t="str">
        <f>IF(OR(ACTIVIDADES!$I43="",AH$4=""),"",IF(ACTIVIDADES!$I43=AH$4,"●",IF(AND(ACTIVIDADES!$H43&lt;=AH$4,ACTIVIDADES!$I43&gt;=AH$4),"·","")))</f>
        <v/>
      </c>
      <c r="AJ43" t="str">
        <f>IF(ACTIVIDADES!K43="","",ACTIVIDADES!K43)</f>
        <v>Cerrado</v>
      </c>
    </row>
    <row r="44" spans="1:36">
      <c r="A44" t="str">
        <f>IF(ACTIVIDADES!A44="","",ACTIVIDADES!A44)</f>
        <v>06.05</v>
      </c>
      <c r="B44" t="str">
        <f>IF(ACTIVIDADES!B44="","",ACTIVIDADES!B44)</f>
        <v>CELEC - ORIENTE</v>
      </c>
      <c r="C44" t="str">
        <f>IF(ACTIVIDADES!C44="","",ACTIVIDADES!C44)</f>
        <v>Corte</v>
      </c>
      <c r="D44" t="str">
        <f>IF(ACTIVIDADES!D44="","",ACTIVIDADES!D44)</f>
        <v>Preparar y entregar corte del día 20</v>
      </c>
      <c r="E44" s="8" t="str">
        <f>IF(OR(ACTIVIDADES!$I44="",D$4=""),"",IF(ACTIVIDADES!$I44=D$4,"●",IF(AND(ACTIVIDADES!$H44&lt;=D$4,ACTIVIDADES!$I44&gt;=D$4),"·","")))</f>
        <v/>
      </c>
      <c r="F44" s="8" t="str">
        <f>IF(OR(ACTIVIDADES!$I44="",E$4=""),"",IF(ACTIVIDADES!$I44=E$4,"●",IF(AND(ACTIVIDADES!$H44&lt;=E$4,ACTIVIDADES!$I44&gt;=E$4),"·","")))</f>
        <v/>
      </c>
      <c r="G44" s="8" t="str">
        <f>IF(OR(ACTIVIDADES!$I44="",F$4=""),"",IF(ACTIVIDADES!$I44=F$4,"●",IF(AND(ACTIVIDADES!$H44&lt;=F$4,ACTIVIDADES!$I44&gt;=F$4),"·","")))</f>
        <v/>
      </c>
      <c r="H44" s="8" t="str">
        <f>IF(OR(ACTIVIDADES!$I44="",G$4=""),"",IF(ACTIVIDADES!$I44=G$4,"●",IF(AND(ACTIVIDADES!$H44&lt;=G$4,ACTIVIDADES!$I44&gt;=G$4),"·","")))</f>
        <v/>
      </c>
      <c r="I44" s="8" t="str">
        <f>IF(OR(ACTIVIDADES!$I44="",H$4=""),"",IF(ACTIVIDADES!$I44=H$4,"●",IF(AND(ACTIVIDADES!$H44&lt;=H$4,ACTIVIDADES!$I44&gt;=H$4),"·","")))</f>
        <v/>
      </c>
      <c r="J44" s="8" t="str">
        <f>IF(OR(ACTIVIDADES!$I44="",I$4=""),"",IF(ACTIVIDADES!$I44=I$4,"●",IF(AND(ACTIVIDADES!$H44&lt;=I$4,ACTIVIDADES!$I44&gt;=I$4),"·","")))</f>
        <v/>
      </c>
      <c r="K44" s="8" t="str">
        <f>IF(OR(ACTIVIDADES!$I44="",J$4=""),"",IF(ACTIVIDADES!$I44=J$4,"●",IF(AND(ACTIVIDADES!$H44&lt;=J$4,ACTIVIDADES!$I44&gt;=J$4),"·","")))</f>
        <v/>
      </c>
      <c r="L44" s="8" t="str">
        <f>IF(OR(ACTIVIDADES!$I44="",K$4=""),"",IF(ACTIVIDADES!$I44=K$4,"●",IF(AND(ACTIVIDADES!$H44&lt;=K$4,ACTIVIDADES!$I44&gt;=K$4),"·","")))</f>
        <v/>
      </c>
      <c r="M44" s="8" t="str">
        <f>IF(OR(ACTIVIDADES!$I44="",L$4=""),"",IF(ACTIVIDADES!$I44=L$4,"●",IF(AND(ACTIVIDADES!$H44&lt;=L$4,ACTIVIDADES!$I44&gt;=L$4),"·","")))</f>
        <v/>
      </c>
      <c r="N44" s="8" t="str">
        <f>IF(OR(ACTIVIDADES!$I44="",M$4=""),"",IF(ACTIVIDADES!$I44=M$4,"●",IF(AND(ACTIVIDADES!$H44&lt;=M$4,ACTIVIDADES!$I44&gt;=M$4),"·","")))</f>
        <v/>
      </c>
      <c r="O44" s="8" t="str">
        <f>IF(OR(ACTIVIDADES!$I44="",N$4=""),"",IF(ACTIVIDADES!$I44=N$4,"●",IF(AND(ACTIVIDADES!$H44&lt;=N$4,ACTIVIDADES!$I44&gt;=N$4),"·","")))</f>
        <v/>
      </c>
      <c r="P44" s="8" t="str">
        <f>IF(OR(ACTIVIDADES!$I44="",O$4=""),"",IF(ACTIVIDADES!$I44=O$4,"●",IF(AND(ACTIVIDADES!$H44&lt;=O$4,ACTIVIDADES!$I44&gt;=O$4),"·","")))</f>
        <v/>
      </c>
      <c r="Q44" s="8" t="str">
        <f>IF(OR(ACTIVIDADES!$I44="",P$4=""),"",IF(ACTIVIDADES!$I44=P$4,"●",IF(AND(ACTIVIDADES!$H44&lt;=P$4,ACTIVIDADES!$I44&gt;=P$4),"·","")))</f>
        <v/>
      </c>
      <c r="R44" s="8" t="str">
        <f>IF(OR(ACTIVIDADES!$I44="",Q$4=""),"",IF(ACTIVIDADES!$I44=Q$4,"●",IF(AND(ACTIVIDADES!$H44&lt;=Q$4,ACTIVIDADES!$I44&gt;=Q$4),"·","")))</f>
        <v/>
      </c>
      <c r="S44" s="8" t="str">
        <f>IF(OR(ACTIVIDADES!$I44="",R$4=""),"",IF(ACTIVIDADES!$I44=R$4,"●",IF(AND(ACTIVIDADES!$H44&lt;=R$4,ACTIVIDADES!$I44&gt;=R$4),"·","")))</f>
        <v/>
      </c>
      <c r="T44" s="8" t="str">
        <f>IF(OR(ACTIVIDADES!$I44="",S$4=""),"",IF(ACTIVIDADES!$I44=S$4,"●",IF(AND(ACTIVIDADES!$H44&lt;=S$4,ACTIVIDADES!$I44&gt;=S$4),"·","")))</f>
        <v/>
      </c>
      <c r="U44" s="8" t="str">
        <f>IF(OR(ACTIVIDADES!$I44="",T$4=""),"",IF(ACTIVIDADES!$I44=T$4,"●",IF(AND(ACTIVIDADES!$H44&lt;=T$4,ACTIVIDADES!$I44&gt;=T$4),"·","")))</f>
        <v/>
      </c>
      <c r="V44" s="8" t="str">
        <f>IF(OR(ACTIVIDADES!$I44="",U$4=""),"",IF(ACTIVIDADES!$I44=U$4,"●",IF(AND(ACTIVIDADES!$H44&lt;=U$4,ACTIVIDADES!$I44&gt;=U$4),"·","")))</f>
        <v/>
      </c>
      <c r="W44" s="8" t="str">
        <f>IF(OR(ACTIVIDADES!$I44="",V$4=""),"",IF(ACTIVIDADES!$I44=V$4,"●",IF(AND(ACTIVIDADES!$H44&lt;=V$4,ACTIVIDADES!$I44&gt;=V$4),"·","")))</f>
        <v/>
      </c>
      <c r="X44" s="8" t="str">
        <f>IF(OR(ACTIVIDADES!$I44="",W$4=""),"",IF(ACTIVIDADES!$I44=W$4,"●",IF(AND(ACTIVIDADES!$H44&lt;=W$4,ACTIVIDADES!$I44&gt;=W$4),"·","")))</f>
        <v/>
      </c>
      <c r="Y44" s="8" t="str">
        <f>IF(OR(ACTIVIDADES!$I44="",X$4=""),"",IF(ACTIVIDADES!$I44=X$4,"●",IF(AND(ACTIVIDADES!$H44&lt;=X$4,ACTIVIDADES!$I44&gt;=X$4),"·","")))</f>
        <v>●</v>
      </c>
      <c r="Z44" s="8" t="str">
        <f>IF(OR(ACTIVIDADES!$I44="",Y$4=""),"",IF(ACTIVIDADES!$I44=Y$4,"●",IF(AND(ACTIVIDADES!$H44&lt;=Y$4,ACTIVIDADES!$I44&gt;=Y$4),"·","")))</f>
        <v/>
      </c>
      <c r="AA44" s="8" t="str">
        <f>IF(OR(ACTIVIDADES!$I44="",Z$4=""),"",IF(ACTIVIDADES!$I44=Z$4,"●",IF(AND(ACTIVIDADES!$H44&lt;=Z$4,ACTIVIDADES!$I44&gt;=Z$4),"·","")))</f>
        <v/>
      </c>
      <c r="AB44" s="8" t="str">
        <f>IF(OR(ACTIVIDADES!$I44="",AA$4=""),"",IF(ACTIVIDADES!$I44=AA$4,"●",IF(AND(ACTIVIDADES!$H44&lt;=AA$4,ACTIVIDADES!$I44&gt;=AA$4),"·","")))</f>
        <v/>
      </c>
      <c r="AC44" s="8" t="str">
        <f>IF(OR(ACTIVIDADES!$I44="",AB$4=""),"",IF(ACTIVIDADES!$I44=AB$4,"●",IF(AND(ACTIVIDADES!$H44&lt;=AB$4,ACTIVIDADES!$I44&gt;=AB$4),"·","")))</f>
        <v/>
      </c>
      <c r="AD44" s="8" t="str">
        <f>IF(OR(ACTIVIDADES!$I44="",AC$4=""),"",IF(ACTIVIDADES!$I44=AC$4,"●",IF(AND(ACTIVIDADES!$H44&lt;=AC$4,ACTIVIDADES!$I44&gt;=AC$4),"·","")))</f>
        <v/>
      </c>
      <c r="AE44" s="8" t="str">
        <f>IF(OR(ACTIVIDADES!$I44="",AD$4=""),"",IF(ACTIVIDADES!$I44=AD$4,"●",IF(AND(ACTIVIDADES!$H44&lt;=AD$4,ACTIVIDADES!$I44&gt;=AD$4),"·","")))</f>
        <v/>
      </c>
      <c r="AF44" s="8" t="str">
        <f>IF(OR(ACTIVIDADES!$I44="",AE$4=""),"",IF(ACTIVIDADES!$I44=AE$4,"●",IF(AND(ACTIVIDADES!$H44&lt;=AE$4,ACTIVIDADES!$I44&gt;=AE$4),"·","")))</f>
        <v/>
      </c>
      <c r="AG44" s="8" t="str">
        <f>IF(OR(ACTIVIDADES!$I44="",AF$4=""),"",IF(ACTIVIDADES!$I44=AF$4,"●",IF(AND(ACTIVIDADES!$H44&lt;=AF$4,ACTIVIDADES!$I44&gt;=AF$4),"·","")))</f>
        <v/>
      </c>
      <c r="AH44" s="8" t="str">
        <f>IF(OR(ACTIVIDADES!$I44="",AG$4=""),"",IF(ACTIVIDADES!$I44=AG$4,"●",IF(AND(ACTIVIDADES!$H44&lt;=AG$4,ACTIVIDADES!$I44&gt;=AG$4),"·","")))</f>
        <v/>
      </c>
      <c r="AI44" s="8" t="str">
        <f>IF(OR(ACTIVIDADES!$I44="",AH$4=""),"",IF(ACTIVIDADES!$I44=AH$4,"●",IF(AND(ACTIVIDADES!$H44&lt;=AH$4,ACTIVIDADES!$I44&gt;=AH$4),"·","")))</f>
        <v/>
      </c>
      <c r="AJ44" t="str">
        <f>IF(ACTIVIDADES!K44="","",ACTIVIDADES!K44)</f>
        <v>Pendiente</v>
      </c>
    </row>
    <row r="45" spans="1:36">
      <c r="A45" t="str">
        <f>IF(ACTIVIDADES!A45="","",ACTIVIDADES!A45)</f>
        <v>06.06</v>
      </c>
      <c r="B45" t="str">
        <f>IF(ACTIVIDADES!B45="","",ACTIVIDADES!B45)</f>
        <v>CELEC - ORIENTE</v>
      </c>
      <c r="C45" t="str">
        <f>IF(ACTIVIDADES!C45="","",ACTIVIDADES!C45)</f>
        <v>Corte</v>
      </c>
      <c r="D45" t="str">
        <f>IF(ACTIVIDADES!D45="","",ACTIVIDADES!D45)</f>
        <v>Preparar y entregar corte del día 26</v>
      </c>
      <c r="E45" s="8" t="str">
        <f>IF(OR(ACTIVIDADES!$I45="",D$4=""),"",IF(ACTIVIDADES!$I45=D$4,"●",IF(AND(ACTIVIDADES!$H45&lt;=D$4,ACTIVIDADES!$I45&gt;=D$4),"·","")))</f>
        <v/>
      </c>
      <c r="F45" s="8" t="str">
        <f>IF(OR(ACTIVIDADES!$I45="",E$4=""),"",IF(ACTIVIDADES!$I45=E$4,"●",IF(AND(ACTIVIDADES!$H45&lt;=E$4,ACTIVIDADES!$I45&gt;=E$4),"·","")))</f>
        <v/>
      </c>
      <c r="G45" s="8" t="str">
        <f>IF(OR(ACTIVIDADES!$I45="",F$4=""),"",IF(ACTIVIDADES!$I45=F$4,"●",IF(AND(ACTIVIDADES!$H45&lt;=F$4,ACTIVIDADES!$I45&gt;=F$4),"·","")))</f>
        <v/>
      </c>
      <c r="H45" s="8" t="str">
        <f>IF(OR(ACTIVIDADES!$I45="",G$4=""),"",IF(ACTIVIDADES!$I45=G$4,"●",IF(AND(ACTIVIDADES!$H45&lt;=G$4,ACTIVIDADES!$I45&gt;=G$4),"·","")))</f>
        <v/>
      </c>
      <c r="I45" s="8" t="str">
        <f>IF(OR(ACTIVIDADES!$I45="",H$4=""),"",IF(ACTIVIDADES!$I45=H$4,"●",IF(AND(ACTIVIDADES!$H45&lt;=H$4,ACTIVIDADES!$I45&gt;=H$4),"·","")))</f>
        <v/>
      </c>
      <c r="J45" s="8" t="str">
        <f>IF(OR(ACTIVIDADES!$I45="",I$4=""),"",IF(ACTIVIDADES!$I45=I$4,"●",IF(AND(ACTIVIDADES!$H45&lt;=I$4,ACTIVIDADES!$I45&gt;=I$4),"·","")))</f>
        <v/>
      </c>
      <c r="K45" s="8" t="str">
        <f>IF(OR(ACTIVIDADES!$I45="",J$4=""),"",IF(ACTIVIDADES!$I45=J$4,"●",IF(AND(ACTIVIDADES!$H45&lt;=J$4,ACTIVIDADES!$I45&gt;=J$4),"·","")))</f>
        <v/>
      </c>
      <c r="L45" s="8" t="str">
        <f>IF(OR(ACTIVIDADES!$I45="",K$4=""),"",IF(ACTIVIDADES!$I45=K$4,"●",IF(AND(ACTIVIDADES!$H45&lt;=K$4,ACTIVIDADES!$I45&gt;=K$4),"·","")))</f>
        <v/>
      </c>
      <c r="M45" s="8" t="str">
        <f>IF(OR(ACTIVIDADES!$I45="",L$4=""),"",IF(ACTIVIDADES!$I45=L$4,"●",IF(AND(ACTIVIDADES!$H45&lt;=L$4,ACTIVIDADES!$I45&gt;=L$4),"·","")))</f>
        <v/>
      </c>
      <c r="N45" s="8" t="str">
        <f>IF(OR(ACTIVIDADES!$I45="",M$4=""),"",IF(ACTIVIDADES!$I45=M$4,"●",IF(AND(ACTIVIDADES!$H45&lt;=M$4,ACTIVIDADES!$I45&gt;=M$4),"·","")))</f>
        <v/>
      </c>
      <c r="O45" s="8" t="str">
        <f>IF(OR(ACTIVIDADES!$I45="",N$4=""),"",IF(ACTIVIDADES!$I45=N$4,"●",IF(AND(ACTIVIDADES!$H45&lt;=N$4,ACTIVIDADES!$I45&gt;=N$4),"·","")))</f>
        <v/>
      </c>
      <c r="P45" s="8" t="str">
        <f>IF(OR(ACTIVIDADES!$I45="",O$4=""),"",IF(ACTIVIDADES!$I45=O$4,"●",IF(AND(ACTIVIDADES!$H45&lt;=O$4,ACTIVIDADES!$I45&gt;=O$4),"·","")))</f>
        <v/>
      </c>
      <c r="Q45" s="8" t="str">
        <f>IF(OR(ACTIVIDADES!$I45="",P$4=""),"",IF(ACTIVIDADES!$I45=P$4,"●",IF(AND(ACTIVIDADES!$H45&lt;=P$4,ACTIVIDADES!$I45&gt;=P$4),"·","")))</f>
        <v/>
      </c>
      <c r="R45" s="8" t="str">
        <f>IF(OR(ACTIVIDADES!$I45="",Q$4=""),"",IF(ACTIVIDADES!$I45=Q$4,"●",IF(AND(ACTIVIDADES!$H45&lt;=Q$4,ACTIVIDADES!$I45&gt;=Q$4),"·","")))</f>
        <v/>
      </c>
      <c r="S45" s="8" t="str">
        <f>IF(OR(ACTIVIDADES!$I45="",R$4=""),"",IF(ACTIVIDADES!$I45=R$4,"●",IF(AND(ACTIVIDADES!$H45&lt;=R$4,ACTIVIDADES!$I45&gt;=R$4),"·","")))</f>
        <v/>
      </c>
      <c r="T45" s="8" t="str">
        <f>IF(OR(ACTIVIDADES!$I45="",S$4=""),"",IF(ACTIVIDADES!$I45=S$4,"●",IF(AND(ACTIVIDADES!$H45&lt;=S$4,ACTIVIDADES!$I45&gt;=S$4),"·","")))</f>
        <v/>
      </c>
      <c r="U45" s="8" t="str">
        <f>IF(OR(ACTIVIDADES!$I45="",T$4=""),"",IF(ACTIVIDADES!$I45=T$4,"●",IF(AND(ACTIVIDADES!$H45&lt;=T$4,ACTIVIDADES!$I45&gt;=T$4),"·","")))</f>
        <v/>
      </c>
      <c r="V45" s="8" t="str">
        <f>IF(OR(ACTIVIDADES!$I45="",U$4=""),"",IF(ACTIVIDADES!$I45=U$4,"●",IF(AND(ACTIVIDADES!$H45&lt;=U$4,ACTIVIDADES!$I45&gt;=U$4),"·","")))</f>
        <v/>
      </c>
      <c r="W45" s="8" t="str">
        <f>IF(OR(ACTIVIDADES!$I45="",V$4=""),"",IF(ACTIVIDADES!$I45=V$4,"●",IF(AND(ACTIVIDADES!$H45&lt;=V$4,ACTIVIDADES!$I45&gt;=V$4),"·","")))</f>
        <v/>
      </c>
      <c r="X45" s="8" t="str">
        <f>IF(OR(ACTIVIDADES!$I45="",W$4=""),"",IF(ACTIVIDADES!$I45=W$4,"●",IF(AND(ACTIVIDADES!$H45&lt;=W$4,ACTIVIDADES!$I45&gt;=W$4),"·","")))</f>
        <v/>
      </c>
      <c r="Y45" s="8" t="str">
        <f>IF(OR(ACTIVIDADES!$I45="",X$4=""),"",IF(ACTIVIDADES!$I45=X$4,"●",IF(AND(ACTIVIDADES!$H45&lt;=X$4,ACTIVIDADES!$I45&gt;=X$4),"·","")))</f>
        <v/>
      </c>
      <c r="Z45" s="8" t="str">
        <f>IF(OR(ACTIVIDADES!$I45="",Y$4=""),"",IF(ACTIVIDADES!$I45=Y$4,"●",IF(AND(ACTIVIDADES!$H45&lt;=Y$4,ACTIVIDADES!$I45&gt;=Y$4),"·","")))</f>
        <v/>
      </c>
      <c r="AA45" s="8" t="str">
        <f>IF(OR(ACTIVIDADES!$I45="",Z$4=""),"",IF(ACTIVIDADES!$I45=Z$4,"●",IF(AND(ACTIVIDADES!$H45&lt;=Z$4,ACTIVIDADES!$I45&gt;=Z$4),"·","")))</f>
        <v/>
      </c>
      <c r="AB45" s="8" t="str">
        <f>IF(OR(ACTIVIDADES!$I45="",AA$4=""),"",IF(ACTIVIDADES!$I45=AA$4,"●",IF(AND(ACTIVIDADES!$H45&lt;=AA$4,ACTIVIDADES!$I45&gt;=AA$4),"·","")))</f>
        <v/>
      </c>
      <c r="AC45" s="8" t="str">
        <f>IF(OR(ACTIVIDADES!$I45="",AB$4=""),"",IF(ACTIVIDADES!$I45=AB$4,"●",IF(AND(ACTIVIDADES!$H45&lt;=AB$4,ACTIVIDADES!$I45&gt;=AB$4),"·","")))</f>
        <v/>
      </c>
      <c r="AD45" s="8" t="str">
        <f>IF(OR(ACTIVIDADES!$I45="",AC$4=""),"",IF(ACTIVIDADES!$I45=AC$4,"●",IF(AND(ACTIVIDADES!$H45&lt;=AC$4,ACTIVIDADES!$I45&gt;=AC$4),"·","")))</f>
        <v/>
      </c>
      <c r="AE45" s="8" t="str">
        <f>IF(OR(ACTIVIDADES!$I45="",AD$4=""),"",IF(ACTIVIDADES!$I45=AD$4,"●",IF(AND(ACTIVIDADES!$H45&lt;=AD$4,ACTIVIDADES!$I45&gt;=AD$4),"·","")))</f>
        <v>●</v>
      </c>
      <c r="AF45" s="8" t="str">
        <f>IF(OR(ACTIVIDADES!$I45="",AE$4=""),"",IF(ACTIVIDADES!$I45=AE$4,"●",IF(AND(ACTIVIDADES!$H45&lt;=AE$4,ACTIVIDADES!$I45&gt;=AE$4),"·","")))</f>
        <v/>
      </c>
      <c r="AG45" s="8" t="str">
        <f>IF(OR(ACTIVIDADES!$I45="",AF$4=""),"",IF(ACTIVIDADES!$I45=AF$4,"●",IF(AND(ACTIVIDADES!$H45&lt;=AF$4,ACTIVIDADES!$I45&gt;=AF$4),"·","")))</f>
        <v/>
      </c>
      <c r="AH45" s="8" t="str">
        <f>IF(OR(ACTIVIDADES!$I45="",AG$4=""),"",IF(ACTIVIDADES!$I45=AG$4,"●",IF(AND(ACTIVIDADES!$H45&lt;=AG$4,ACTIVIDADES!$I45&gt;=AG$4),"·","")))</f>
        <v/>
      </c>
      <c r="AI45" s="8" t="str">
        <f>IF(OR(ACTIVIDADES!$I45="",AH$4=""),"",IF(ACTIVIDADES!$I45=AH$4,"●",IF(AND(ACTIVIDADES!$H45&lt;=AH$4,ACTIVIDADES!$I45&gt;=AH$4),"·","")))</f>
        <v/>
      </c>
      <c r="AJ45" t="str">
        <f>IF(ACTIVIDADES!K45="","",ACTIVIDADES!K45)</f>
        <v>Pendiente</v>
      </c>
    </row>
    <row r="46" spans="1:36">
      <c r="A46" t="str">
        <f>IF(ACTIVIDADES!A46="","",ACTIVIDADES!A46)</f>
        <v>06.07</v>
      </c>
      <c r="B46" t="str">
        <f>IF(ACTIVIDADES!B46="","",ACTIVIDADES!B46)</f>
        <v>CELEC - ORIENTE</v>
      </c>
      <c r="C46" t="str">
        <f>IF(ACTIVIDADES!C46="","",ACTIVIDADES!C46)</f>
        <v>Corte</v>
      </c>
      <c r="D46" t="str">
        <f>IF(ACTIVIDADES!D46="","",ACTIVIDADES!D46)</f>
        <v>Preparar y entregar corte del día 30</v>
      </c>
      <c r="E46" s="8" t="str">
        <f>IF(OR(ACTIVIDADES!$I46="",D$4=""),"",IF(ACTIVIDADES!$I46=D$4,"●",IF(AND(ACTIVIDADES!$H46&lt;=D$4,ACTIVIDADES!$I46&gt;=D$4),"·","")))</f>
        <v/>
      </c>
      <c r="F46" s="8" t="str">
        <f>IF(OR(ACTIVIDADES!$I46="",E$4=""),"",IF(ACTIVIDADES!$I46=E$4,"●",IF(AND(ACTIVIDADES!$H46&lt;=E$4,ACTIVIDADES!$I46&gt;=E$4),"·","")))</f>
        <v/>
      </c>
      <c r="G46" s="8" t="str">
        <f>IF(OR(ACTIVIDADES!$I46="",F$4=""),"",IF(ACTIVIDADES!$I46=F$4,"●",IF(AND(ACTIVIDADES!$H46&lt;=F$4,ACTIVIDADES!$I46&gt;=F$4),"·","")))</f>
        <v/>
      </c>
      <c r="H46" s="8" t="str">
        <f>IF(OR(ACTIVIDADES!$I46="",G$4=""),"",IF(ACTIVIDADES!$I46=G$4,"●",IF(AND(ACTIVIDADES!$H46&lt;=G$4,ACTIVIDADES!$I46&gt;=G$4),"·","")))</f>
        <v/>
      </c>
      <c r="I46" s="8" t="str">
        <f>IF(OR(ACTIVIDADES!$I46="",H$4=""),"",IF(ACTIVIDADES!$I46=H$4,"●",IF(AND(ACTIVIDADES!$H46&lt;=H$4,ACTIVIDADES!$I46&gt;=H$4),"·","")))</f>
        <v/>
      </c>
      <c r="J46" s="8" t="str">
        <f>IF(OR(ACTIVIDADES!$I46="",I$4=""),"",IF(ACTIVIDADES!$I46=I$4,"●",IF(AND(ACTIVIDADES!$H46&lt;=I$4,ACTIVIDADES!$I46&gt;=I$4),"·","")))</f>
        <v/>
      </c>
      <c r="K46" s="8" t="str">
        <f>IF(OR(ACTIVIDADES!$I46="",J$4=""),"",IF(ACTIVIDADES!$I46=J$4,"●",IF(AND(ACTIVIDADES!$H46&lt;=J$4,ACTIVIDADES!$I46&gt;=J$4),"·","")))</f>
        <v/>
      </c>
      <c r="L46" s="8" t="str">
        <f>IF(OR(ACTIVIDADES!$I46="",K$4=""),"",IF(ACTIVIDADES!$I46=K$4,"●",IF(AND(ACTIVIDADES!$H46&lt;=K$4,ACTIVIDADES!$I46&gt;=K$4),"·","")))</f>
        <v/>
      </c>
      <c r="M46" s="8" t="str">
        <f>IF(OR(ACTIVIDADES!$I46="",L$4=""),"",IF(ACTIVIDADES!$I46=L$4,"●",IF(AND(ACTIVIDADES!$H46&lt;=L$4,ACTIVIDADES!$I46&gt;=L$4),"·","")))</f>
        <v/>
      </c>
      <c r="N46" s="8" t="str">
        <f>IF(OR(ACTIVIDADES!$I46="",M$4=""),"",IF(ACTIVIDADES!$I46=M$4,"●",IF(AND(ACTIVIDADES!$H46&lt;=M$4,ACTIVIDADES!$I46&gt;=M$4),"·","")))</f>
        <v/>
      </c>
      <c r="O46" s="8" t="str">
        <f>IF(OR(ACTIVIDADES!$I46="",N$4=""),"",IF(ACTIVIDADES!$I46=N$4,"●",IF(AND(ACTIVIDADES!$H46&lt;=N$4,ACTIVIDADES!$I46&gt;=N$4),"·","")))</f>
        <v/>
      </c>
      <c r="P46" s="8" t="str">
        <f>IF(OR(ACTIVIDADES!$I46="",O$4=""),"",IF(ACTIVIDADES!$I46=O$4,"●",IF(AND(ACTIVIDADES!$H46&lt;=O$4,ACTIVIDADES!$I46&gt;=O$4),"·","")))</f>
        <v/>
      </c>
      <c r="Q46" s="8" t="str">
        <f>IF(OR(ACTIVIDADES!$I46="",P$4=""),"",IF(ACTIVIDADES!$I46=P$4,"●",IF(AND(ACTIVIDADES!$H46&lt;=P$4,ACTIVIDADES!$I46&gt;=P$4),"·","")))</f>
        <v/>
      </c>
      <c r="R46" s="8" t="str">
        <f>IF(OR(ACTIVIDADES!$I46="",Q$4=""),"",IF(ACTIVIDADES!$I46=Q$4,"●",IF(AND(ACTIVIDADES!$H46&lt;=Q$4,ACTIVIDADES!$I46&gt;=Q$4),"·","")))</f>
        <v/>
      </c>
      <c r="S46" s="8" t="str">
        <f>IF(OR(ACTIVIDADES!$I46="",R$4=""),"",IF(ACTIVIDADES!$I46=R$4,"●",IF(AND(ACTIVIDADES!$H46&lt;=R$4,ACTIVIDADES!$I46&gt;=R$4),"·","")))</f>
        <v/>
      </c>
      <c r="T46" s="8" t="str">
        <f>IF(OR(ACTIVIDADES!$I46="",S$4=""),"",IF(ACTIVIDADES!$I46=S$4,"●",IF(AND(ACTIVIDADES!$H46&lt;=S$4,ACTIVIDADES!$I46&gt;=S$4),"·","")))</f>
        <v/>
      </c>
      <c r="U46" s="8" t="str">
        <f>IF(OR(ACTIVIDADES!$I46="",T$4=""),"",IF(ACTIVIDADES!$I46=T$4,"●",IF(AND(ACTIVIDADES!$H46&lt;=T$4,ACTIVIDADES!$I46&gt;=T$4),"·","")))</f>
        <v/>
      </c>
      <c r="V46" s="8" t="str">
        <f>IF(OR(ACTIVIDADES!$I46="",U$4=""),"",IF(ACTIVIDADES!$I46=U$4,"●",IF(AND(ACTIVIDADES!$H46&lt;=U$4,ACTIVIDADES!$I46&gt;=U$4),"·","")))</f>
        <v/>
      </c>
      <c r="W46" s="8" t="str">
        <f>IF(OR(ACTIVIDADES!$I46="",V$4=""),"",IF(ACTIVIDADES!$I46=V$4,"●",IF(AND(ACTIVIDADES!$H46&lt;=V$4,ACTIVIDADES!$I46&gt;=V$4),"·","")))</f>
        <v/>
      </c>
      <c r="X46" s="8" t="str">
        <f>IF(OR(ACTIVIDADES!$I46="",W$4=""),"",IF(ACTIVIDADES!$I46=W$4,"●",IF(AND(ACTIVIDADES!$H46&lt;=W$4,ACTIVIDADES!$I46&gt;=W$4),"·","")))</f>
        <v/>
      </c>
      <c r="Y46" s="8" t="str">
        <f>IF(OR(ACTIVIDADES!$I46="",X$4=""),"",IF(ACTIVIDADES!$I46=X$4,"●",IF(AND(ACTIVIDADES!$H46&lt;=X$4,ACTIVIDADES!$I46&gt;=X$4),"·","")))</f>
        <v/>
      </c>
      <c r="Z46" s="8" t="str">
        <f>IF(OR(ACTIVIDADES!$I46="",Y$4=""),"",IF(ACTIVIDADES!$I46=Y$4,"●",IF(AND(ACTIVIDADES!$H46&lt;=Y$4,ACTIVIDADES!$I46&gt;=Y$4),"·","")))</f>
        <v/>
      </c>
      <c r="AA46" s="8" t="str">
        <f>IF(OR(ACTIVIDADES!$I46="",Z$4=""),"",IF(ACTIVIDADES!$I46=Z$4,"●",IF(AND(ACTIVIDADES!$H46&lt;=Z$4,ACTIVIDADES!$I46&gt;=Z$4),"·","")))</f>
        <v/>
      </c>
      <c r="AB46" s="8" t="str">
        <f>IF(OR(ACTIVIDADES!$I46="",AA$4=""),"",IF(ACTIVIDADES!$I46=AA$4,"●",IF(AND(ACTIVIDADES!$H46&lt;=AA$4,ACTIVIDADES!$I46&gt;=AA$4),"·","")))</f>
        <v/>
      </c>
      <c r="AC46" s="8" t="str">
        <f>IF(OR(ACTIVIDADES!$I46="",AB$4=""),"",IF(ACTIVIDADES!$I46=AB$4,"●",IF(AND(ACTIVIDADES!$H46&lt;=AB$4,ACTIVIDADES!$I46&gt;=AB$4),"·","")))</f>
        <v/>
      </c>
      <c r="AD46" s="8" t="str">
        <f>IF(OR(ACTIVIDADES!$I46="",AC$4=""),"",IF(ACTIVIDADES!$I46=AC$4,"●",IF(AND(ACTIVIDADES!$H46&lt;=AC$4,ACTIVIDADES!$I46&gt;=AC$4),"·","")))</f>
        <v/>
      </c>
      <c r="AE46" s="8" t="str">
        <f>IF(OR(ACTIVIDADES!$I46="",AD$4=""),"",IF(ACTIVIDADES!$I46=AD$4,"●",IF(AND(ACTIVIDADES!$H46&lt;=AD$4,ACTIVIDADES!$I46&gt;=AD$4),"·","")))</f>
        <v/>
      </c>
      <c r="AF46" s="8" t="str">
        <f>IF(OR(ACTIVIDADES!$I46="",AE$4=""),"",IF(ACTIVIDADES!$I46=AE$4,"●",IF(AND(ACTIVIDADES!$H46&lt;=AE$4,ACTIVIDADES!$I46&gt;=AE$4),"·","")))</f>
        <v/>
      </c>
      <c r="AG46" s="8" t="str">
        <f>IF(OR(ACTIVIDADES!$I46="",AF$4=""),"",IF(ACTIVIDADES!$I46=AF$4,"●",IF(AND(ACTIVIDADES!$H46&lt;=AF$4,ACTIVIDADES!$I46&gt;=AF$4),"·","")))</f>
        <v/>
      </c>
      <c r="AH46" s="8" t="str">
        <f>IF(OR(ACTIVIDADES!$I46="",AG$4=""),"",IF(ACTIVIDADES!$I46=AG$4,"●",IF(AND(ACTIVIDADES!$H46&lt;=AG$4,ACTIVIDADES!$I46&gt;=AG$4),"·","")))</f>
        <v/>
      </c>
      <c r="AI46" s="8" t="str">
        <f>IF(OR(ACTIVIDADES!$I46="",AH$4=""),"",IF(ACTIVIDADES!$I46=AH$4,"●",IF(AND(ACTIVIDADES!$H46&lt;=AH$4,ACTIVIDADES!$I46&gt;=AH$4),"·","")))</f>
        <v>●</v>
      </c>
      <c r="AJ46" t="str">
        <f>IF(ACTIVIDADES!K46="","",ACTIVIDADES!K46)</f>
        <v>Pendiente</v>
      </c>
    </row>
    <row r="47" spans="1:36">
      <c r="A47" t="str">
        <f>IF(ACTIVIDADES!A47="","",ACTIVIDADES!A47)</f>
        <v>07.01</v>
      </c>
      <c r="B47" t="str">
        <f>IF(ACTIVIDADES!B47="","",ACTIVIDADES!B47)</f>
        <v>CELEC - GUAYAQUIL</v>
      </c>
      <c r="C47" t="str">
        <f>IF(ACTIVIDADES!C47="","",ACTIVIDADES!C47)</f>
        <v>Informe</v>
      </c>
      <c r="D47" t="str">
        <f>IF(ACTIVIDADES!D47="","",ACTIVIDADES!D47)</f>
        <v>Solicitar y entregar informe mensual</v>
      </c>
      <c r="E47" s="8" t="str">
        <f>IF(OR(ACTIVIDADES!$I47="",D$4=""),"",IF(ACTIVIDADES!$I47=D$4,"●",IF(AND(ACTIVIDADES!$H47&lt;=D$4,ACTIVIDADES!$I47&gt;=D$4),"·","")))</f>
        <v/>
      </c>
      <c r="F47" s="8" t="str">
        <f>IF(OR(ACTIVIDADES!$I47="",E$4=""),"",IF(ACTIVIDADES!$I47=E$4,"●",IF(AND(ACTIVIDADES!$H47&lt;=E$4,ACTIVIDADES!$I47&gt;=E$4),"·","")))</f>
        <v/>
      </c>
      <c r="G47" s="8" t="str">
        <f>IF(OR(ACTIVIDADES!$I47="",F$4=""),"",IF(ACTIVIDADES!$I47=F$4,"●",IF(AND(ACTIVIDADES!$H47&lt;=F$4,ACTIVIDADES!$I47&gt;=F$4),"·","")))</f>
        <v/>
      </c>
      <c r="H47" s="8" t="str">
        <f>IF(OR(ACTIVIDADES!$I47="",G$4=""),"",IF(ACTIVIDADES!$I47=G$4,"●",IF(AND(ACTIVIDADES!$H47&lt;=G$4,ACTIVIDADES!$I47&gt;=G$4),"·","")))</f>
        <v/>
      </c>
      <c r="I47" s="8" t="str">
        <f>IF(OR(ACTIVIDADES!$I47="",H$4=""),"",IF(ACTIVIDADES!$I47=H$4,"●",IF(AND(ACTIVIDADES!$H47&lt;=H$4,ACTIVIDADES!$I47&gt;=H$4),"·","")))</f>
        <v/>
      </c>
      <c r="J47" s="8" t="str">
        <f>IF(OR(ACTIVIDADES!$I47="",I$4=""),"",IF(ACTIVIDADES!$I47=I$4,"●",IF(AND(ACTIVIDADES!$H47&lt;=I$4,ACTIVIDADES!$I47&gt;=I$4),"·","")))</f>
        <v/>
      </c>
      <c r="K47" s="8" t="str">
        <f>IF(OR(ACTIVIDADES!$I47="",J$4=""),"",IF(ACTIVIDADES!$I47=J$4,"●",IF(AND(ACTIVIDADES!$H47&lt;=J$4,ACTIVIDADES!$I47&gt;=J$4),"·","")))</f>
        <v/>
      </c>
      <c r="L47" s="8" t="str">
        <f>IF(OR(ACTIVIDADES!$I47="",K$4=""),"",IF(ACTIVIDADES!$I47=K$4,"●",IF(AND(ACTIVIDADES!$H47&lt;=K$4,ACTIVIDADES!$I47&gt;=K$4),"·","")))</f>
        <v/>
      </c>
      <c r="M47" s="8" t="str">
        <f>IF(OR(ACTIVIDADES!$I47="",L$4=""),"",IF(ACTIVIDADES!$I47=L$4,"●",IF(AND(ACTIVIDADES!$H47&lt;=L$4,ACTIVIDADES!$I47&gt;=L$4),"·","")))</f>
        <v/>
      </c>
      <c r="N47" s="8" t="str">
        <f>IF(OR(ACTIVIDADES!$I47="",M$4=""),"",IF(ACTIVIDADES!$I47=M$4,"●",IF(AND(ACTIVIDADES!$H47&lt;=M$4,ACTIVIDADES!$I47&gt;=M$4),"·","")))</f>
        <v/>
      </c>
      <c r="O47" s="8" t="str">
        <f>IF(OR(ACTIVIDADES!$I47="",N$4=""),"",IF(ACTIVIDADES!$I47=N$4,"●",IF(AND(ACTIVIDADES!$H47&lt;=N$4,ACTIVIDADES!$I47&gt;=N$4),"·","")))</f>
        <v/>
      </c>
      <c r="P47" s="8" t="str">
        <f>IF(OR(ACTIVIDADES!$I47="",O$4=""),"",IF(ACTIVIDADES!$I47=O$4,"●",IF(AND(ACTIVIDADES!$H47&lt;=O$4,ACTIVIDADES!$I47&gt;=O$4),"·","")))</f>
        <v/>
      </c>
      <c r="Q47" s="8" t="str">
        <f>IF(OR(ACTIVIDADES!$I47="",P$4=""),"",IF(ACTIVIDADES!$I47=P$4,"●",IF(AND(ACTIVIDADES!$H47&lt;=P$4,ACTIVIDADES!$I47&gt;=P$4),"·","")))</f>
        <v/>
      </c>
      <c r="R47" s="8" t="str">
        <f>IF(OR(ACTIVIDADES!$I47="",Q$4=""),"",IF(ACTIVIDADES!$I47=Q$4,"●",IF(AND(ACTIVIDADES!$H47&lt;=Q$4,ACTIVIDADES!$I47&gt;=Q$4),"·","")))</f>
        <v/>
      </c>
      <c r="S47" s="8" t="str">
        <f>IF(OR(ACTIVIDADES!$I47="",R$4=""),"",IF(ACTIVIDADES!$I47=R$4,"●",IF(AND(ACTIVIDADES!$H47&lt;=R$4,ACTIVIDADES!$I47&gt;=R$4),"·","")))</f>
        <v/>
      </c>
      <c r="T47" s="8" t="str">
        <f>IF(OR(ACTIVIDADES!$I47="",S$4=""),"",IF(ACTIVIDADES!$I47=S$4,"●",IF(AND(ACTIVIDADES!$H47&lt;=S$4,ACTIVIDADES!$I47&gt;=S$4),"·","")))</f>
        <v/>
      </c>
      <c r="U47" s="8" t="str">
        <f>IF(OR(ACTIVIDADES!$I47="",T$4=""),"",IF(ACTIVIDADES!$I47=T$4,"●",IF(AND(ACTIVIDADES!$H47&lt;=T$4,ACTIVIDADES!$I47&gt;=T$4),"·","")))</f>
        <v/>
      </c>
      <c r="V47" s="8" t="str">
        <f>IF(OR(ACTIVIDADES!$I47="",U$4=""),"",IF(ACTIVIDADES!$I47=U$4,"●",IF(AND(ACTIVIDADES!$H47&lt;=U$4,ACTIVIDADES!$I47&gt;=U$4),"·","")))</f>
        <v/>
      </c>
      <c r="W47" s="8" t="str">
        <f>IF(OR(ACTIVIDADES!$I47="",V$4=""),"",IF(ACTIVIDADES!$I47=V$4,"●",IF(AND(ACTIVIDADES!$H47&lt;=V$4,ACTIVIDADES!$I47&gt;=V$4),"·","")))</f>
        <v/>
      </c>
      <c r="X47" s="8" t="str">
        <f>IF(OR(ACTIVIDADES!$I47="",W$4=""),"",IF(ACTIVIDADES!$I47=W$4,"●",IF(AND(ACTIVIDADES!$H47&lt;=W$4,ACTIVIDADES!$I47&gt;=W$4),"·","")))</f>
        <v/>
      </c>
      <c r="Y47" s="8" t="str">
        <f>IF(OR(ACTIVIDADES!$I47="",X$4=""),"",IF(ACTIVIDADES!$I47=X$4,"●",IF(AND(ACTIVIDADES!$H47&lt;=X$4,ACTIVIDADES!$I47&gt;=X$4),"·","")))</f>
        <v/>
      </c>
      <c r="Z47" s="8" t="str">
        <f>IF(OR(ACTIVIDADES!$I47="",Y$4=""),"",IF(ACTIVIDADES!$I47=Y$4,"●",IF(AND(ACTIVIDADES!$H47&lt;=Y$4,ACTIVIDADES!$I47&gt;=Y$4),"·","")))</f>
        <v/>
      </c>
      <c r="AA47" s="8" t="str">
        <f>IF(OR(ACTIVIDADES!$I47="",Z$4=""),"",IF(ACTIVIDADES!$I47=Z$4,"●",IF(AND(ACTIVIDADES!$H47&lt;=Z$4,ACTIVIDADES!$I47&gt;=Z$4),"·","")))</f>
        <v/>
      </c>
      <c r="AB47" s="8" t="str">
        <f>IF(OR(ACTIVIDADES!$I47="",AA$4=""),"",IF(ACTIVIDADES!$I47=AA$4,"●",IF(AND(ACTIVIDADES!$H47&lt;=AA$4,ACTIVIDADES!$I47&gt;=AA$4),"·","")))</f>
        <v/>
      </c>
      <c r="AC47" s="8" t="str">
        <f>IF(OR(ACTIVIDADES!$I47="",AB$4=""),"",IF(ACTIVIDADES!$I47=AB$4,"●",IF(AND(ACTIVIDADES!$H47&lt;=AB$4,ACTIVIDADES!$I47&gt;=AB$4),"·","")))</f>
        <v/>
      </c>
      <c r="AD47" s="8" t="str">
        <f>IF(OR(ACTIVIDADES!$I47="",AC$4=""),"",IF(ACTIVIDADES!$I47=AC$4,"●",IF(AND(ACTIVIDADES!$H47&lt;=AC$4,ACTIVIDADES!$I47&gt;=AC$4),"·","")))</f>
        <v/>
      </c>
      <c r="AE47" s="8" t="str">
        <f>IF(OR(ACTIVIDADES!$I47="",AD$4=""),"",IF(ACTIVIDADES!$I47=AD$4,"●",IF(AND(ACTIVIDADES!$H47&lt;=AD$4,ACTIVIDADES!$I47&gt;=AD$4),"·","")))</f>
        <v/>
      </c>
      <c r="AF47" s="8" t="str">
        <f>IF(OR(ACTIVIDADES!$I47="",AE$4=""),"",IF(ACTIVIDADES!$I47=AE$4,"●",IF(AND(ACTIVIDADES!$H47&lt;=AE$4,ACTIVIDADES!$I47&gt;=AE$4),"·","")))</f>
        <v/>
      </c>
      <c r="AG47" s="8" t="str">
        <f>IF(OR(ACTIVIDADES!$I47="",AF$4=""),"",IF(ACTIVIDADES!$I47=AF$4,"●",IF(AND(ACTIVIDADES!$H47&lt;=AF$4,ACTIVIDADES!$I47&gt;=AF$4),"·","")))</f>
        <v/>
      </c>
      <c r="AH47" s="8" t="str">
        <f>IF(OR(ACTIVIDADES!$I47="",AG$4=""),"",IF(ACTIVIDADES!$I47=AG$4,"●",IF(AND(ACTIVIDADES!$H47&lt;=AG$4,ACTIVIDADES!$I47&gt;=AG$4),"·","")))</f>
        <v/>
      </c>
      <c r="AI47" s="8" t="str">
        <f>IF(OR(ACTIVIDADES!$I47="",AH$4=""),"",IF(ACTIVIDADES!$I47=AH$4,"●",IF(AND(ACTIVIDADES!$H47&lt;=AH$4,ACTIVIDADES!$I47&gt;=AH$4),"·","")))</f>
        <v/>
      </c>
      <c r="AJ47" t="str">
        <f>IF(ACTIVIDADES!K47="","",ACTIVIDADES!K47)</f>
        <v>Pendiente</v>
      </c>
    </row>
    <row r="48" spans="1:36">
      <c r="A48" t="str">
        <f>IF(ACTIVIDADES!A48="","",ACTIVIDADES!A48)</f>
        <v>07.02</v>
      </c>
      <c r="B48" t="str">
        <f>IF(ACTIVIDADES!B48="","",ACTIVIDADES!B48)</f>
        <v>CELEC - GUAYAQUIL</v>
      </c>
      <c r="C48" t="str">
        <f>IF(ACTIVIDADES!C48="","",ACTIVIDADES!C48)</f>
        <v>Abastecimiento</v>
      </c>
      <c r="D48" t="str">
        <f>IF(ACTIVIDADES!D48="","",ACTIVIDADES!D48)</f>
        <v>Solicitar requerimientos de insumos</v>
      </c>
      <c r="E48" s="8" t="str">
        <f>IF(OR(ACTIVIDADES!$I48="",D$4=""),"",IF(ACTIVIDADES!$I48=D$4,"●",IF(AND(ACTIVIDADES!$H48&lt;=D$4,ACTIVIDADES!$I48&gt;=D$4),"·","")))</f>
        <v/>
      </c>
      <c r="F48" s="8" t="str">
        <f>IF(OR(ACTIVIDADES!$I48="",E$4=""),"",IF(ACTIVIDADES!$I48=E$4,"●",IF(AND(ACTIVIDADES!$H48&lt;=E$4,ACTIVIDADES!$I48&gt;=E$4),"·","")))</f>
        <v/>
      </c>
      <c r="G48" s="8" t="str">
        <f>IF(OR(ACTIVIDADES!$I48="",F$4=""),"",IF(ACTIVIDADES!$I48=F$4,"●",IF(AND(ACTIVIDADES!$H48&lt;=F$4,ACTIVIDADES!$I48&gt;=F$4),"·","")))</f>
        <v/>
      </c>
      <c r="H48" s="8" t="str">
        <f>IF(OR(ACTIVIDADES!$I48="",G$4=""),"",IF(ACTIVIDADES!$I48=G$4,"●",IF(AND(ACTIVIDADES!$H48&lt;=G$4,ACTIVIDADES!$I48&gt;=G$4),"·","")))</f>
        <v/>
      </c>
      <c r="I48" s="8" t="str">
        <f>IF(OR(ACTIVIDADES!$I48="",H$4=""),"",IF(ACTIVIDADES!$I48=H$4,"●",IF(AND(ACTIVIDADES!$H48&lt;=H$4,ACTIVIDADES!$I48&gt;=H$4),"·","")))</f>
        <v/>
      </c>
      <c r="J48" s="8" t="str">
        <f>IF(OR(ACTIVIDADES!$I48="",I$4=""),"",IF(ACTIVIDADES!$I48=I$4,"●",IF(AND(ACTIVIDADES!$H48&lt;=I$4,ACTIVIDADES!$I48&gt;=I$4),"·","")))</f>
        <v/>
      </c>
      <c r="K48" s="8" t="str">
        <f>IF(OR(ACTIVIDADES!$I48="",J$4=""),"",IF(ACTIVIDADES!$I48=J$4,"●",IF(AND(ACTIVIDADES!$H48&lt;=J$4,ACTIVIDADES!$I48&gt;=J$4),"·","")))</f>
        <v/>
      </c>
      <c r="L48" s="8" t="str">
        <f>IF(OR(ACTIVIDADES!$I48="",K$4=""),"",IF(ACTIVIDADES!$I48=K$4,"●",IF(AND(ACTIVIDADES!$H48&lt;=K$4,ACTIVIDADES!$I48&gt;=K$4),"·","")))</f>
        <v/>
      </c>
      <c r="M48" s="8" t="str">
        <f>IF(OR(ACTIVIDADES!$I48="",L$4=""),"",IF(ACTIVIDADES!$I48=L$4,"●",IF(AND(ACTIVIDADES!$H48&lt;=L$4,ACTIVIDADES!$I48&gt;=L$4),"·","")))</f>
        <v/>
      </c>
      <c r="N48" s="8" t="str">
        <f>IF(OR(ACTIVIDADES!$I48="",M$4=""),"",IF(ACTIVIDADES!$I48=M$4,"●",IF(AND(ACTIVIDADES!$H48&lt;=M$4,ACTIVIDADES!$I48&gt;=M$4),"·","")))</f>
        <v/>
      </c>
      <c r="O48" s="8" t="str">
        <f>IF(OR(ACTIVIDADES!$I48="",N$4=""),"",IF(ACTIVIDADES!$I48=N$4,"●",IF(AND(ACTIVIDADES!$H48&lt;=N$4,ACTIVIDADES!$I48&gt;=N$4),"·","")))</f>
        <v/>
      </c>
      <c r="P48" s="8" t="str">
        <f>IF(OR(ACTIVIDADES!$I48="",O$4=""),"",IF(ACTIVIDADES!$I48=O$4,"●",IF(AND(ACTIVIDADES!$H48&lt;=O$4,ACTIVIDADES!$I48&gt;=O$4),"·","")))</f>
        <v/>
      </c>
      <c r="Q48" s="8" t="str">
        <f>IF(OR(ACTIVIDADES!$I48="",P$4=""),"",IF(ACTIVIDADES!$I48=P$4,"●",IF(AND(ACTIVIDADES!$H48&lt;=P$4,ACTIVIDADES!$I48&gt;=P$4),"·","")))</f>
        <v/>
      </c>
      <c r="R48" s="8" t="str">
        <f>IF(OR(ACTIVIDADES!$I48="",Q$4=""),"",IF(ACTIVIDADES!$I48=Q$4,"●",IF(AND(ACTIVIDADES!$H48&lt;=Q$4,ACTIVIDADES!$I48&gt;=Q$4),"·","")))</f>
        <v/>
      </c>
      <c r="S48" s="8" t="str">
        <f>IF(OR(ACTIVIDADES!$I48="",R$4=""),"",IF(ACTIVIDADES!$I48=R$4,"●",IF(AND(ACTIVIDADES!$H48&lt;=R$4,ACTIVIDADES!$I48&gt;=R$4),"·","")))</f>
        <v/>
      </c>
      <c r="T48" s="8" t="str">
        <f>IF(OR(ACTIVIDADES!$I48="",S$4=""),"",IF(ACTIVIDADES!$I48=S$4,"●",IF(AND(ACTIVIDADES!$H48&lt;=S$4,ACTIVIDADES!$I48&gt;=S$4),"·","")))</f>
        <v/>
      </c>
      <c r="U48" s="8" t="str">
        <f>IF(OR(ACTIVIDADES!$I48="",T$4=""),"",IF(ACTIVIDADES!$I48=T$4,"●",IF(AND(ACTIVIDADES!$H48&lt;=T$4,ACTIVIDADES!$I48&gt;=T$4),"·","")))</f>
        <v/>
      </c>
      <c r="V48" s="8" t="str">
        <f>IF(OR(ACTIVIDADES!$I48="",U$4=""),"",IF(ACTIVIDADES!$I48=U$4,"●",IF(AND(ACTIVIDADES!$H48&lt;=U$4,ACTIVIDADES!$I48&gt;=U$4),"·","")))</f>
        <v/>
      </c>
      <c r="W48" s="8" t="str">
        <f>IF(OR(ACTIVIDADES!$I48="",V$4=""),"",IF(ACTIVIDADES!$I48=V$4,"●",IF(AND(ACTIVIDADES!$H48&lt;=V$4,ACTIVIDADES!$I48&gt;=V$4),"·","")))</f>
        <v/>
      </c>
      <c r="X48" s="8" t="str">
        <f>IF(OR(ACTIVIDADES!$I48="",W$4=""),"",IF(ACTIVIDADES!$I48=W$4,"●",IF(AND(ACTIVIDADES!$H48&lt;=W$4,ACTIVIDADES!$I48&gt;=W$4),"·","")))</f>
        <v/>
      </c>
      <c r="Y48" s="8" t="str">
        <f>IF(OR(ACTIVIDADES!$I48="",X$4=""),"",IF(ACTIVIDADES!$I48=X$4,"●",IF(AND(ACTIVIDADES!$H48&lt;=X$4,ACTIVIDADES!$I48&gt;=X$4),"·","")))</f>
        <v/>
      </c>
      <c r="Z48" s="8" t="str">
        <f>IF(OR(ACTIVIDADES!$I48="",Y$4=""),"",IF(ACTIVIDADES!$I48=Y$4,"●",IF(AND(ACTIVIDADES!$H48&lt;=Y$4,ACTIVIDADES!$I48&gt;=Y$4),"·","")))</f>
        <v/>
      </c>
      <c r="AA48" s="8" t="str">
        <f>IF(OR(ACTIVIDADES!$I48="",Z$4=""),"",IF(ACTIVIDADES!$I48=Z$4,"●",IF(AND(ACTIVIDADES!$H48&lt;=Z$4,ACTIVIDADES!$I48&gt;=Z$4),"·","")))</f>
        <v/>
      </c>
      <c r="AB48" s="8" t="str">
        <f>IF(OR(ACTIVIDADES!$I48="",AA$4=""),"",IF(ACTIVIDADES!$I48=AA$4,"●",IF(AND(ACTIVIDADES!$H48&lt;=AA$4,ACTIVIDADES!$I48&gt;=AA$4),"·","")))</f>
        <v/>
      </c>
      <c r="AC48" s="8" t="str">
        <f>IF(OR(ACTIVIDADES!$I48="",AB$4=""),"",IF(ACTIVIDADES!$I48=AB$4,"●",IF(AND(ACTIVIDADES!$H48&lt;=AB$4,ACTIVIDADES!$I48&gt;=AB$4),"·","")))</f>
        <v/>
      </c>
      <c r="AD48" s="8" t="str">
        <f>IF(OR(ACTIVIDADES!$I48="",AC$4=""),"",IF(ACTIVIDADES!$I48=AC$4,"●",IF(AND(ACTIVIDADES!$H48&lt;=AC$4,ACTIVIDADES!$I48&gt;=AC$4),"·","")))</f>
        <v/>
      </c>
      <c r="AE48" s="8" t="str">
        <f>IF(OR(ACTIVIDADES!$I48="",AD$4=""),"",IF(ACTIVIDADES!$I48=AD$4,"●",IF(AND(ACTIVIDADES!$H48&lt;=AD$4,ACTIVIDADES!$I48&gt;=AD$4),"·","")))</f>
        <v/>
      </c>
      <c r="AF48" s="8" t="str">
        <f>IF(OR(ACTIVIDADES!$I48="",AE$4=""),"",IF(ACTIVIDADES!$I48=AE$4,"●",IF(AND(ACTIVIDADES!$H48&lt;=AE$4,ACTIVIDADES!$I48&gt;=AE$4),"·","")))</f>
        <v/>
      </c>
      <c r="AG48" s="8" t="str">
        <f>IF(OR(ACTIVIDADES!$I48="",AF$4=""),"",IF(ACTIVIDADES!$I48=AF$4,"●",IF(AND(ACTIVIDADES!$H48&lt;=AF$4,ACTIVIDADES!$I48&gt;=AF$4),"·","")))</f>
        <v/>
      </c>
      <c r="AH48" s="8" t="str">
        <f>IF(OR(ACTIVIDADES!$I48="",AG$4=""),"",IF(ACTIVIDADES!$I48=AG$4,"●",IF(AND(ACTIVIDADES!$H48&lt;=AG$4,ACTIVIDADES!$I48&gt;=AG$4),"·","")))</f>
        <v/>
      </c>
      <c r="AI48" s="8" t="str">
        <f>IF(OR(ACTIVIDADES!$I48="",AH$4=""),"",IF(ACTIVIDADES!$I48=AH$4,"●",IF(AND(ACTIVIDADES!$H48&lt;=AH$4,ACTIVIDADES!$I48&gt;=AH$4),"·","")))</f>
        <v/>
      </c>
      <c r="AJ48" t="str">
        <f>IF(ACTIVIDADES!K48="","",ACTIVIDADES!K48)</f>
        <v>Pendiente</v>
      </c>
    </row>
    <row r="49" spans="1:36">
      <c r="A49" t="str">
        <f>IF(ACTIVIDADES!A49="","",ACTIVIDADES!A49)</f>
        <v>07.03</v>
      </c>
      <c r="B49" t="str">
        <f>IF(ACTIVIDADES!B49="","",ACTIVIDADES!B49)</f>
        <v>CELEC - GUAYAQUIL</v>
      </c>
      <c r="C49" t="str">
        <f>IF(ACTIVIDADES!C49="","",ACTIVIDADES!C49)</f>
        <v>Corte</v>
      </c>
      <c r="D49" t="str">
        <f>IF(ACTIVIDADES!D49="","",ACTIVIDADES!D49)</f>
        <v>Preparar y entregar corte del día 5</v>
      </c>
      <c r="E49" s="8" t="str">
        <f>IF(OR(ACTIVIDADES!$I49="",D$4=""),"",IF(ACTIVIDADES!$I49=D$4,"●",IF(AND(ACTIVIDADES!$H49&lt;=D$4,ACTIVIDADES!$I49&gt;=D$4),"·","")))</f>
        <v/>
      </c>
      <c r="F49" s="8" t="str">
        <f>IF(OR(ACTIVIDADES!$I49="",E$4=""),"",IF(ACTIVIDADES!$I49=E$4,"●",IF(AND(ACTIVIDADES!$H49&lt;=E$4,ACTIVIDADES!$I49&gt;=E$4),"·","")))</f>
        <v/>
      </c>
      <c r="G49" s="8" t="str">
        <f>IF(OR(ACTIVIDADES!$I49="",F$4=""),"",IF(ACTIVIDADES!$I49=F$4,"●",IF(AND(ACTIVIDADES!$H49&lt;=F$4,ACTIVIDADES!$I49&gt;=F$4),"·","")))</f>
        <v/>
      </c>
      <c r="H49" s="8" t="str">
        <f>IF(OR(ACTIVIDADES!$I49="",G$4=""),"",IF(ACTIVIDADES!$I49=G$4,"●",IF(AND(ACTIVIDADES!$H49&lt;=G$4,ACTIVIDADES!$I49&gt;=G$4),"·","")))</f>
        <v/>
      </c>
      <c r="I49" s="8" t="str">
        <f>IF(OR(ACTIVIDADES!$I49="",H$4=""),"",IF(ACTIVIDADES!$I49=H$4,"●",IF(AND(ACTIVIDADES!$H49&lt;=H$4,ACTIVIDADES!$I49&gt;=H$4),"·","")))</f>
        <v/>
      </c>
      <c r="J49" s="8" t="str">
        <f>IF(OR(ACTIVIDADES!$I49="",I$4=""),"",IF(ACTIVIDADES!$I49=I$4,"●",IF(AND(ACTIVIDADES!$H49&lt;=I$4,ACTIVIDADES!$I49&gt;=I$4),"·","")))</f>
        <v>●</v>
      </c>
      <c r="K49" s="8" t="str">
        <f>IF(OR(ACTIVIDADES!$I49="",J$4=""),"",IF(ACTIVIDADES!$I49=J$4,"●",IF(AND(ACTIVIDADES!$H49&lt;=J$4,ACTIVIDADES!$I49&gt;=J$4),"·","")))</f>
        <v/>
      </c>
      <c r="L49" s="8" t="str">
        <f>IF(OR(ACTIVIDADES!$I49="",K$4=""),"",IF(ACTIVIDADES!$I49=K$4,"●",IF(AND(ACTIVIDADES!$H49&lt;=K$4,ACTIVIDADES!$I49&gt;=K$4),"·","")))</f>
        <v/>
      </c>
      <c r="M49" s="8" t="str">
        <f>IF(OR(ACTIVIDADES!$I49="",L$4=""),"",IF(ACTIVIDADES!$I49=L$4,"●",IF(AND(ACTIVIDADES!$H49&lt;=L$4,ACTIVIDADES!$I49&gt;=L$4),"·","")))</f>
        <v/>
      </c>
      <c r="N49" s="8" t="str">
        <f>IF(OR(ACTIVIDADES!$I49="",M$4=""),"",IF(ACTIVIDADES!$I49=M$4,"●",IF(AND(ACTIVIDADES!$H49&lt;=M$4,ACTIVIDADES!$I49&gt;=M$4),"·","")))</f>
        <v/>
      </c>
      <c r="O49" s="8" t="str">
        <f>IF(OR(ACTIVIDADES!$I49="",N$4=""),"",IF(ACTIVIDADES!$I49=N$4,"●",IF(AND(ACTIVIDADES!$H49&lt;=N$4,ACTIVIDADES!$I49&gt;=N$4),"·","")))</f>
        <v/>
      </c>
      <c r="P49" s="8" t="str">
        <f>IF(OR(ACTIVIDADES!$I49="",O$4=""),"",IF(ACTIVIDADES!$I49=O$4,"●",IF(AND(ACTIVIDADES!$H49&lt;=O$4,ACTIVIDADES!$I49&gt;=O$4),"·","")))</f>
        <v/>
      </c>
      <c r="Q49" s="8" t="str">
        <f>IF(OR(ACTIVIDADES!$I49="",P$4=""),"",IF(ACTIVIDADES!$I49=P$4,"●",IF(AND(ACTIVIDADES!$H49&lt;=P$4,ACTIVIDADES!$I49&gt;=P$4),"·","")))</f>
        <v/>
      </c>
      <c r="R49" s="8" t="str">
        <f>IF(OR(ACTIVIDADES!$I49="",Q$4=""),"",IF(ACTIVIDADES!$I49=Q$4,"●",IF(AND(ACTIVIDADES!$H49&lt;=Q$4,ACTIVIDADES!$I49&gt;=Q$4),"·","")))</f>
        <v/>
      </c>
      <c r="S49" s="8" t="str">
        <f>IF(OR(ACTIVIDADES!$I49="",R$4=""),"",IF(ACTIVIDADES!$I49=R$4,"●",IF(AND(ACTIVIDADES!$H49&lt;=R$4,ACTIVIDADES!$I49&gt;=R$4),"·","")))</f>
        <v/>
      </c>
      <c r="T49" s="8" t="str">
        <f>IF(OR(ACTIVIDADES!$I49="",S$4=""),"",IF(ACTIVIDADES!$I49=S$4,"●",IF(AND(ACTIVIDADES!$H49&lt;=S$4,ACTIVIDADES!$I49&gt;=S$4),"·","")))</f>
        <v/>
      </c>
      <c r="U49" s="8" t="str">
        <f>IF(OR(ACTIVIDADES!$I49="",T$4=""),"",IF(ACTIVIDADES!$I49=T$4,"●",IF(AND(ACTIVIDADES!$H49&lt;=T$4,ACTIVIDADES!$I49&gt;=T$4),"·","")))</f>
        <v/>
      </c>
      <c r="V49" s="8" t="str">
        <f>IF(OR(ACTIVIDADES!$I49="",U$4=""),"",IF(ACTIVIDADES!$I49=U$4,"●",IF(AND(ACTIVIDADES!$H49&lt;=U$4,ACTIVIDADES!$I49&gt;=U$4),"·","")))</f>
        <v/>
      </c>
      <c r="W49" s="8" t="str">
        <f>IF(OR(ACTIVIDADES!$I49="",V$4=""),"",IF(ACTIVIDADES!$I49=V$4,"●",IF(AND(ACTIVIDADES!$H49&lt;=V$4,ACTIVIDADES!$I49&gt;=V$4),"·","")))</f>
        <v/>
      </c>
      <c r="X49" s="8" t="str">
        <f>IF(OR(ACTIVIDADES!$I49="",W$4=""),"",IF(ACTIVIDADES!$I49=W$4,"●",IF(AND(ACTIVIDADES!$H49&lt;=W$4,ACTIVIDADES!$I49&gt;=W$4),"·","")))</f>
        <v/>
      </c>
      <c r="Y49" s="8" t="str">
        <f>IF(OR(ACTIVIDADES!$I49="",X$4=""),"",IF(ACTIVIDADES!$I49=X$4,"●",IF(AND(ACTIVIDADES!$H49&lt;=X$4,ACTIVIDADES!$I49&gt;=X$4),"·","")))</f>
        <v/>
      </c>
      <c r="Z49" s="8" t="str">
        <f>IF(OR(ACTIVIDADES!$I49="",Y$4=""),"",IF(ACTIVIDADES!$I49=Y$4,"●",IF(AND(ACTIVIDADES!$H49&lt;=Y$4,ACTIVIDADES!$I49&gt;=Y$4),"·","")))</f>
        <v/>
      </c>
      <c r="AA49" s="8" t="str">
        <f>IF(OR(ACTIVIDADES!$I49="",Z$4=""),"",IF(ACTIVIDADES!$I49=Z$4,"●",IF(AND(ACTIVIDADES!$H49&lt;=Z$4,ACTIVIDADES!$I49&gt;=Z$4),"·","")))</f>
        <v/>
      </c>
      <c r="AB49" s="8" t="str">
        <f>IF(OR(ACTIVIDADES!$I49="",AA$4=""),"",IF(ACTIVIDADES!$I49=AA$4,"●",IF(AND(ACTIVIDADES!$H49&lt;=AA$4,ACTIVIDADES!$I49&gt;=AA$4),"·","")))</f>
        <v/>
      </c>
      <c r="AC49" s="8" t="str">
        <f>IF(OR(ACTIVIDADES!$I49="",AB$4=""),"",IF(ACTIVIDADES!$I49=AB$4,"●",IF(AND(ACTIVIDADES!$H49&lt;=AB$4,ACTIVIDADES!$I49&gt;=AB$4),"·","")))</f>
        <v/>
      </c>
      <c r="AD49" s="8" t="str">
        <f>IF(OR(ACTIVIDADES!$I49="",AC$4=""),"",IF(ACTIVIDADES!$I49=AC$4,"●",IF(AND(ACTIVIDADES!$H49&lt;=AC$4,ACTIVIDADES!$I49&gt;=AC$4),"·","")))</f>
        <v/>
      </c>
      <c r="AE49" s="8" t="str">
        <f>IF(OR(ACTIVIDADES!$I49="",AD$4=""),"",IF(ACTIVIDADES!$I49=AD$4,"●",IF(AND(ACTIVIDADES!$H49&lt;=AD$4,ACTIVIDADES!$I49&gt;=AD$4),"·","")))</f>
        <v/>
      </c>
      <c r="AF49" s="8" t="str">
        <f>IF(OR(ACTIVIDADES!$I49="",AE$4=""),"",IF(ACTIVIDADES!$I49=AE$4,"●",IF(AND(ACTIVIDADES!$H49&lt;=AE$4,ACTIVIDADES!$I49&gt;=AE$4),"·","")))</f>
        <v/>
      </c>
      <c r="AG49" s="8" t="str">
        <f>IF(OR(ACTIVIDADES!$I49="",AF$4=""),"",IF(ACTIVIDADES!$I49=AF$4,"●",IF(AND(ACTIVIDADES!$H49&lt;=AF$4,ACTIVIDADES!$I49&gt;=AF$4),"·","")))</f>
        <v/>
      </c>
      <c r="AH49" s="8" t="str">
        <f>IF(OR(ACTIVIDADES!$I49="",AG$4=""),"",IF(ACTIVIDADES!$I49=AG$4,"●",IF(AND(ACTIVIDADES!$H49&lt;=AG$4,ACTIVIDADES!$I49&gt;=AG$4),"·","")))</f>
        <v/>
      </c>
      <c r="AI49" s="8" t="str">
        <f>IF(OR(ACTIVIDADES!$I49="",AH$4=""),"",IF(ACTIVIDADES!$I49=AH$4,"●",IF(AND(ACTIVIDADES!$H49&lt;=AH$4,ACTIVIDADES!$I49&gt;=AH$4),"·","")))</f>
        <v/>
      </c>
      <c r="AJ49" t="str">
        <f>IF(ACTIVIDADES!K49="","",ACTIVIDADES!K49)</f>
        <v>Cerrado</v>
      </c>
    </row>
    <row r="50" spans="1:36">
      <c r="A50" t="str">
        <f>IF(ACTIVIDADES!A50="","",ACTIVIDADES!A50)</f>
        <v>07.04</v>
      </c>
      <c r="B50" t="str">
        <f>IF(ACTIVIDADES!B50="","",ACTIVIDADES!B50)</f>
        <v>CELEC - GUAYAQUIL</v>
      </c>
      <c r="C50" t="str">
        <f>IF(ACTIVIDADES!C50="","",ACTIVIDADES!C50)</f>
        <v>Corte</v>
      </c>
      <c r="D50" t="str">
        <f>IF(ACTIVIDADES!D50="","",ACTIVIDADES!D50)</f>
        <v>Preparar y entregar corte del día 10</v>
      </c>
      <c r="E50" s="8" t="str">
        <f>IF(OR(ACTIVIDADES!$I50="",D$4=""),"",IF(ACTIVIDADES!$I50=D$4,"●",IF(AND(ACTIVIDADES!$H50&lt;=D$4,ACTIVIDADES!$I50&gt;=D$4),"·","")))</f>
        <v/>
      </c>
      <c r="F50" s="8" t="str">
        <f>IF(OR(ACTIVIDADES!$I50="",E$4=""),"",IF(ACTIVIDADES!$I50=E$4,"●",IF(AND(ACTIVIDADES!$H50&lt;=E$4,ACTIVIDADES!$I50&gt;=E$4),"·","")))</f>
        <v/>
      </c>
      <c r="G50" s="8" t="str">
        <f>IF(OR(ACTIVIDADES!$I50="",F$4=""),"",IF(ACTIVIDADES!$I50=F$4,"●",IF(AND(ACTIVIDADES!$H50&lt;=F$4,ACTIVIDADES!$I50&gt;=F$4),"·","")))</f>
        <v/>
      </c>
      <c r="H50" s="8" t="str">
        <f>IF(OR(ACTIVIDADES!$I50="",G$4=""),"",IF(ACTIVIDADES!$I50=G$4,"●",IF(AND(ACTIVIDADES!$H50&lt;=G$4,ACTIVIDADES!$I50&gt;=G$4),"·","")))</f>
        <v/>
      </c>
      <c r="I50" s="8" t="str">
        <f>IF(OR(ACTIVIDADES!$I50="",H$4=""),"",IF(ACTIVIDADES!$I50=H$4,"●",IF(AND(ACTIVIDADES!$H50&lt;=H$4,ACTIVIDADES!$I50&gt;=H$4),"·","")))</f>
        <v/>
      </c>
      <c r="J50" s="8" t="str">
        <f>IF(OR(ACTIVIDADES!$I50="",I$4=""),"",IF(ACTIVIDADES!$I50=I$4,"●",IF(AND(ACTIVIDADES!$H50&lt;=I$4,ACTIVIDADES!$I50&gt;=I$4),"·","")))</f>
        <v/>
      </c>
      <c r="K50" s="8" t="str">
        <f>IF(OR(ACTIVIDADES!$I50="",J$4=""),"",IF(ACTIVIDADES!$I50=J$4,"●",IF(AND(ACTIVIDADES!$H50&lt;=J$4,ACTIVIDADES!$I50&gt;=J$4),"·","")))</f>
        <v/>
      </c>
      <c r="L50" s="8" t="str">
        <f>IF(OR(ACTIVIDADES!$I50="",K$4=""),"",IF(ACTIVIDADES!$I50=K$4,"●",IF(AND(ACTIVIDADES!$H50&lt;=K$4,ACTIVIDADES!$I50&gt;=K$4),"·","")))</f>
        <v/>
      </c>
      <c r="M50" s="8" t="str">
        <f>IF(OR(ACTIVIDADES!$I50="",L$4=""),"",IF(ACTIVIDADES!$I50=L$4,"●",IF(AND(ACTIVIDADES!$H50&lt;=L$4,ACTIVIDADES!$I50&gt;=L$4),"·","")))</f>
        <v/>
      </c>
      <c r="N50" s="8" t="str">
        <f>IF(OR(ACTIVIDADES!$I50="",M$4=""),"",IF(ACTIVIDADES!$I50=M$4,"●",IF(AND(ACTIVIDADES!$H50&lt;=M$4,ACTIVIDADES!$I50&gt;=M$4),"·","")))</f>
        <v/>
      </c>
      <c r="O50" s="8" t="str">
        <f>IF(OR(ACTIVIDADES!$I50="",N$4=""),"",IF(ACTIVIDADES!$I50=N$4,"●",IF(AND(ACTIVIDADES!$H50&lt;=N$4,ACTIVIDADES!$I50&gt;=N$4),"·","")))</f>
        <v>●</v>
      </c>
      <c r="P50" s="8" t="str">
        <f>IF(OR(ACTIVIDADES!$I50="",O$4=""),"",IF(ACTIVIDADES!$I50=O$4,"●",IF(AND(ACTIVIDADES!$H50&lt;=O$4,ACTIVIDADES!$I50&gt;=O$4),"·","")))</f>
        <v/>
      </c>
      <c r="Q50" s="8" t="str">
        <f>IF(OR(ACTIVIDADES!$I50="",P$4=""),"",IF(ACTIVIDADES!$I50=P$4,"●",IF(AND(ACTIVIDADES!$H50&lt;=P$4,ACTIVIDADES!$I50&gt;=P$4),"·","")))</f>
        <v/>
      </c>
      <c r="R50" s="8" t="str">
        <f>IF(OR(ACTIVIDADES!$I50="",Q$4=""),"",IF(ACTIVIDADES!$I50=Q$4,"●",IF(AND(ACTIVIDADES!$H50&lt;=Q$4,ACTIVIDADES!$I50&gt;=Q$4),"·","")))</f>
        <v/>
      </c>
      <c r="S50" s="8" t="str">
        <f>IF(OR(ACTIVIDADES!$I50="",R$4=""),"",IF(ACTIVIDADES!$I50=R$4,"●",IF(AND(ACTIVIDADES!$H50&lt;=R$4,ACTIVIDADES!$I50&gt;=R$4),"·","")))</f>
        <v/>
      </c>
      <c r="T50" s="8" t="str">
        <f>IF(OR(ACTIVIDADES!$I50="",S$4=""),"",IF(ACTIVIDADES!$I50=S$4,"●",IF(AND(ACTIVIDADES!$H50&lt;=S$4,ACTIVIDADES!$I50&gt;=S$4),"·","")))</f>
        <v/>
      </c>
      <c r="U50" s="8" t="str">
        <f>IF(OR(ACTIVIDADES!$I50="",T$4=""),"",IF(ACTIVIDADES!$I50=T$4,"●",IF(AND(ACTIVIDADES!$H50&lt;=T$4,ACTIVIDADES!$I50&gt;=T$4),"·","")))</f>
        <v/>
      </c>
      <c r="V50" s="8" t="str">
        <f>IF(OR(ACTIVIDADES!$I50="",U$4=""),"",IF(ACTIVIDADES!$I50=U$4,"●",IF(AND(ACTIVIDADES!$H50&lt;=U$4,ACTIVIDADES!$I50&gt;=U$4),"·","")))</f>
        <v/>
      </c>
      <c r="W50" s="8" t="str">
        <f>IF(OR(ACTIVIDADES!$I50="",V$4=""),"",IF(ACTIVIDADES!$I50=V$4,"●",IF(AND(ACTIVIDADES!$H50&lt;=V$4,ACTIVIDADES!$I50&gt;=V$4),"·","")))</f>
        <v/>
      </c>
      <c r="X50" s="8" t="str">
        <f>IF(OR(ACTIVIDADES!$I50="",W$4=""),"",IF(ACTIVIDADES!$I50=W$4,"●",IF(AND(ACTIVIDADES!$H50&lt;=W$4,ACTIVIDADES!$I50&gt;=W$4),"·","")))</f>
        <v/>
      </c>
      <c r="Y50" s="8" t="str">
        <f>IF(OR(ACTIVIDADES!$I50="",X$4=""),"",IF(ACTIVIDADES!$I50=X$4,"●",IF(AND(ACTIVIDADES!$H50&lt;=X$4,ACTIVIDADES!$I50&gt;=X$4),"·","")))</f>
        <v/>
      </c>
      <c r="Z50" s="8" t="str">
        <f>IF(OR(ACTIVIDADES!$I50="",Y$4=""),"",IF(ACTIVIDADES!$I50=Y$4,"●",IF(AND(ACTIVIDADES!$H50&lt;=Y$4,ACTIVIDADES!$I50&gt;=Y$4),"·","")))</f>
        <v/>
      </c>
      <c r="AA50" s="8" t="str">
        <f>IF(OR(ACTIVIDADES!$I50="",Z$4=""),"",IF(ACTIVIDADES!$I50=Z$4,"●",IF(AND(ACTIVIDADES!$H50&lt;=Z$4,ACTIVIDADES!$I50&gt;=Z$4),"·","")))</f>
        <v/>
      </c>
      <c r="AB50" s="8" t="str">
        <f>IF(OR(ACTIVIDADES!$I50="",AA$4=""),"",IF(ACTIVIDADES!$I50=AA$4,"●",IF(AND(ACTIVIDADES!$H50&lt;=AA$4,ACTIVIDADES!$I50&gt;=AA$4),"·","")))</f>
        <v/>
      </c>
      <c r="AC50" s="8" t="str">
        <f>IF(OR(ACTIVIDADES!$I50="",AB$4=""),"",IF(ACTIVIDADES!$I50=AB$4,"●",IF(AND(ACTIVIDADES!$H50&lt;=AB$4,ACTIVIDADES!$I50&gt;=AB$4),"·","")))</f>
        <v/>
      </c>
      <c r="AD50" s="8" t="str">
        <f>IF(OR(ACTIVIDADES!$I50="",AC$4=""),"",IF(ACTIVIDADES!$I50=AC$4,"●",IF(AND(ACTIVIDADES!$H50&lt;=AC$4,ACTIVIDADES!$I50&gt;=AC$4),"·","")))</f>
        <v/>
      </c>
      <c r="AE50" s="8" t="str">
        <f>IF(OR(ACTIVIDADES!$I50="",AD$4=""),"",IF(ACTIVIDADES!$I50=AD$4,"●",IF(AND(ACTIVIDADES!$H50&lt;=AD$4,ACTIVIDADES!$I50&gt;=AD$4),"·","")))</f>
        <v/>
      </c>
      <c r="AF50" s="8" t="str">
        <f>IF(OR(ACTIVIDADES!$I50="",AE$4=""),"",IF(ACTIVIDADES!$I50=AE$4,"●",IF(AND(ACTIVIDADES!$H50&lt;=AE$4,ACTIVIDADES!$I50&gt;=AE$4),"·","")))</f>
        <v/>
      </c>
      <c r="AG50" s="8" t="str">
        <f>IF(OR(ACTIVIDADES!$I50="",AF$4=""),"",IF(ACTIVIDADES!$I50=AF$4,"●",IF(AND(ACTIVIDADES!$H50&lt;=AF$4,ACTIVIDADES!$I50&gt;=AF$4),"·","")))</f>
        <v/>
      </c>
      <c r="AH50" s="8" t="str">
        <f>IF(OR(ACTIVIDADES!$I50="",AG$4=""),"",IF(ACTIVIDADES!$I50=AG$4,"●",IF(AND(ACTIVIDADES!$H50&lt;=AG$4,ACTIVIDADES!$I50&gt;=AG$4),"·","")))</f>
        <v/>
      </c>
      <c r="AI50" s="8" t="str">
        <f>IF(OR(ACTIVIDADES!$I50="",AH$4=""),"",IF(ACTIVIDADES!$I50=AH$4,"●",IF(AND(ACTIVIDADES!$H50&lt;=AH$4,ACTIVIDADES!$I50&gt;=AH$4),"·","")))</f>
        <v/>
      </c>
      <c r="AJ50" t="str">
        <f>IF(ACTIVIDADES!K50="","",ACTIVIDADES!K50)</f>
        <v>Cerrado</v>
      </c>
    </row>
    <row r="51" spans="1:36">
      <c r="A51" t="str">
        <f>IF(ACTIVIDADES!A51="","",ACTIVIDADES!A51)</f>
        <v>07.05</v>
      </c>
      <c r="B51" t="str">
        <f>IF(ACTIVIDADES!B51="","",ACTIVIDADES!B51)</f>
        <v>CELEC - GUAYAQUIL</v>
      </c>
      <c r="C51" t="str">
        <f>IF(ACTIVIDADES!C51="","",ACTIVIDADES!C51)</f>
        <v>Corte</v>
      </c>
      <c r="D51" t="str">
        <f>IF(ACTIVIDADES!D51="","",ACTIVIDADES!D51)</f>
        <v>Preparar y entregar corte del día 20</v>
      </c>
      <c r="E51" s="8" t="str">
        <f>IF(OR(ACTIVIDADES!$I51="",D$4=""),"",IF(ACTIVIDADES!$I51=D$4,"●",IF(AND(ACTIVIDADES!$H51&lt;=D$4,ACTIVIDADES!$I51&gt;=D$4),"·","")))</f>
        <v/>
      </c>
      <c r="F51" s="8" t="str">
        <f>IF(OR(ACTIVIDADES!$I51="",E$4=""),"",IF(ACTIVIDADES!$I51=E$4,"●",IF(AND(ACTIVIDADES!$H51&lt;=E$4,ACTIVIDADES!$I51&gt;=E$4),"·","")))</f>
        <v/>
      </c>
      <c r="G51" s="8" t="str">
        <f>IF(OR(ACTIVIDADES!$I51="",F$4=""),"",IF(ACTIVIDADES!$I51=F$4,"●",IF(AND(ACTIVIDADES!$H51&lt;=F$4,ACTIVIDADES!$I51&gt;=F$4),"·","")))</f>
        <v/>
      </c>
      <c r="H51" s="8" t="str">
        <f>IF(OR(ACTIVIDADES!$I51="",G$4=""),"",IF(ACTIVIDADES!$I51=G$4,"●",IF(AND(ACTIVIDADES!$H51&lt;=G$4,ACTIVIDADES!$I51&gt;=G$4),"·","")))</f>
        <v/>
      </c>
      <c r="I51" s="8" t="str">
        <f>IF(OR(ACTIVIDADES!$I51="",H$4=""),"",IF(ACTIVIDADES!$I51=H$4,"●",IF(AND(ACTIVIDADES!$H51&lt;=H$4,ACTIVIDADES!$I51&gt;=H$4),"·","")))</f>
        <v/>
      </c>
      <c r="J51" s="8" t="str">
        <f>IF(OR(ACTIVIDADES!$I51="",I$4=""),"",IF(ACTIVIDADES!$I51=I$4,"●",IF(AND(ACTIVIDADES!$H51&lt;=I$4,ACTIVIDADES!$I51&gt;=I$4),"·","")))</f>
        <v/>
      </c>
      <c r="K51" s="8" t="str">
        <f>IF(OR(ACTIVIDADES!$I51="",J$4=""),"",IF(ACTIVIDADES!$I51=J$4,"●",IF(AND(ACTIVIDADES!$H51&lt;=J$4,ACTIVIDADES!$I51&gt;=J$4),"·","")))</f>
        <v/>
      </c>
      <c r="L51" s="8" t="str">
        <f>IF(OR(ACTIVIDADES!$I51="",K$4=""),"",IF(ACTIVIDADES!$I51=K$4,"●",IF(AND(ACTIVIDADES!$H51&lt;=K$4,ACTIVIDADES!$I51&gt;=K$4),"·","")))</f>
        <v/>
      </c>
      <c r="M51" s="8" t="str">
        <f>IF(OR(ACTIVIDADES!$I51="",L$4=""),"",IF(ACTIVIDADES!$I51=L$4,"●",IF(AND(ACTIVIDADES!$H51&lt;=L$4,ACTIVIDADES!$I51&gt;=L$4),"·","")))</f>
        <v/>
      </c>
      <c r="N51" s="8" t="str">
        <f>IF(OR(ACTIVIDADES!$I51="",M$4=""),"",IF(ACTIVIDADES!$I51=M$4,"●",IF(AND(ACTIVIDADES!$H51&lt;=M$4,ACTIVIDADES!$I51&gt;=M$4),"·","")))</f>
        <v/>
      </c>
      <c r="O51" s="8" t="str">
        <f>IF(OR(ACTIVIDADES!$I51="",N$4=""),"",IF(ACTIVIDADES!$I51=N$4,"●",IF(AND(ACTIVIDADES!$H51&lt;=N$4,ACTIVIDADES!$I51&gt;=N$4),"·","")))</f>
        <v/>
      </c>
      <c r="P51" s="8" t="str">
        <f>IF(OR(ACTIVIDADES!$I51="",O$4=""),"",IF(ACTIVIDADES!$I51=O$4,"●",IF(AND(ACTIVIDADES!$H51&lt;=O$4,ACTIVIDADES!$I51&gt;=O$4),"·","")))</f>
        <v/>
      </c>
      <c r="Q51" s="8" t="str">
        <f>IF(OR(ACTIVIDADES!$I51="",P$4=""),"",IF(ACTIVIDADES!$I51=P$4,"●",IF(AND(ACTIVIDADES!$H51&lt;=P$4,ACTIVIDADES!$I51&gt;=P$4),"·","")))</f>
        <v/>
      </c>
      <c r="R51" s="8" t="str">
        <f>IF(OR(ACTIVIDADES!$I51="",Q$4=""),"",IF(ACTIVIDADES!$I51=Q$4,"●",IF(AND(ACTIVIDADES!$H51&lt;=Q$4,ACTIVIDADES!$I51&gt;=Q$4),"·","")))</f>
        <v/>
      </c>
      <c r="S51" s="8" t="str">
        <f>IF(OR(ACTIVIDADES!$I51="",R$4=""),"",IF(ACTIVIDADES!$I51=R$4,"●",IF(AND(ACTIVIDADES!$H51&lt;=R$4,ACTIVIDADES!$I51&gt;=R$4),"·","")))</f>
        <v/>
      </c>
      <c r="T51" s="8" t="str">
        <f>IF(OR(ACTIVIDADES!$I51="",S$4=""),"",IF(ACTIVIDADES!$I51=S$4,"●",IF(AND(ACTIVIDADES!$H51&lt;=S$4,ACTIVIDADES!$I51&gt;=S$4),"·","")))</f>
        <v/>
      </c>
      <c r="U51" s="8" t="str">
        <f>IF(OR(ACTIVIDADES!$I51="",T$4=""),"",IF(ACTIVIDADES!$I51=T$4,"●",IF(AND(ACTIVIDADES!$H51&lt;=T$4,ACTIVIDADES!$I51&gt;=T$4),"·","")))</f>
        <v/>
      </c>
      <c r="V51" s="8" t="str">
        <f>IF(OR(ACTIVIDADES!$I51="",U$4=""),"",IF(ACTIVIDADES!$I51=U$4,"●",IF(AND(ACTIVIDADES!$H51&lt;=U$4,ACTIVIDADES!$I51&gt;=U$4),"·","")))</f>
        <v/>
      </c>
      <c r="W51" s="8" t="str">
        <f>IF(OR(ACTIVIDADES!$I51="",V$4=""),"",IF(ACTIVIDADES!$I51=V$4,"●",IF(AND(ACTIVIDADES!$H51&lt;=V$4,ACTIVIDADES!$I51&gt;=V$4),"·","")))</f>
        <v/>
      </c>
      <c r="X51" s="8" t="str">
        <f>IF(OR(ACTIVIDADES!$I51="",W$4=""),"",IF(ACTIVIDADES!$I51=W$4,"●",IF(AND(ACTIVIDADES!$H51&lt;=W$4,ACTIVIDADES!$I51&gt;=W$4),"·","")))</f>
        <v/>
      </c>
      <c r="Y51" s="8" t="str">
        <f>IF(OR(ACTIVIDADES!$I51="",X$4=""),"",IF(ACTIVIDADES!$I51=X$4,"●",IF(AND(ACTIVIDADES!$H51&lt;=X$4,ACTIVIDADES!$I51&gt;=X$4),"·","")))</f>
        <v>●</v>
      </c>
      <c r="Z51" s="8" t="str">
        <f>IF(OR(ACTIVIDADES!$I51="",Y$4=""),"",IF(ACTIVIDADES!$I51=Y$4,"●",IF(AND(ACTIVIDADES!$H51&lt;=Y$4,ACTIVIDADES!$I51&gt;=Y$4),"·","")))</f>
        <v/>
      </c>
      <c r="AA51" s="8" t="str">
        <f>IF(OR(ACTIVIDADES!$I51="",Z$4=""),"",IF(ACTIVIDADES!$I51=Z$4,"●",IF(AND(ACTIVIDADES!$H51&lt;=Z$4,ACTIVIDADES!$I51&gt;=Z$4),"·","")))</f>
        <v/>
      </c>
      <c r="AB51" s="8" t="str">
        <f>IF(OR(ACTIVIDADES!$I51="",AA$4=""),"",IF(ACTIVIDADES!$I51=AA$4,"●",IF(AND(ACTIVIDADES!$H51&lt;=AA$4,ACTIVIDADES!$I51&gt;=AA$4),"·","")))</f>
        <v/>
      </c>
      <c r="AC51" s="8" t="str">
        <f>IF(OR(ACTIVIDADES!$I51="",AB$4=""),"",IF(ACTIVIDADES!$I51=AB$4,"●",IF(AND(ACTIVIDADES!$H51&lt;=AB$4,ACTIVIDADES!$I51&gt;=AB$4),"·","")))</f>
        <v/>
      </c>
      <c r="AD51" s="8" t="str">
        <f>IF(OR(ACTIVIDADES!$I51="",AC$4=""),"",IF(ACTIVIDADES!$I51=AC$4,"●",IF(AND(ACTIVIDADES!$H51&lt;=AC$4,ACTIVIDADES!$I51&gt;=AC$4),"·","")))</f>
        <v/>
      </c>
      <c r="AE51" s="8" t="str">
        <f>IF(OR(ACTIVIDADES!$I51="",AD$4=""),"",IF(ACTIVIDADES!$I51=AD$4,"●",IF(AND(ACTIVIDADES!$H51&lt;=AD$4,ACTIVIDADES!$I51&gt;=AD$4),"·","")))</f>
        <v/>
      </c>
      <c r="AF51" s="8" t="str">
        <f>IF(OR(ACTIVIDADES!$I51="",AE$4=""),"",IF(ACTIVIDADES!$I51=AE$4,"●",IF(AND(ACTIVIDADES!$H51&lt;=AE$4,ACTIVIDADES!$I51&gt;=AE$4),"·","")))</f>
        <v/>
      </c>
      <c r="AG51" s="8" t="str">
        <f>IF(OR(ACTIVIDADES!$I51="",AF$4=""),"",IF(ACTIVIDADES!$I51=AF$4,"●",IF(AND(ACTIVIDADES!$H51&lt;=AF$4,ACTIVIDADES!$I51&gt;=AF$4),"·","")))</f>
        <v/>
      </c>
      <c r="AH51" s="8" t="str">
        <f>IF(OR(ACTIVIDADES!$I51="",AG$4=""),"",IF(ACTIVIDADES!$I51=AG$4,"●",IF(AND(ACTIVIDADES!$H51&lt;=AG$4,ACTIVIDADES!$I51&gt;=AG$4),"·","")))</f>
        <v/>
      </c>
      <c r="AI51" s="8" t="str">
        <f>IF(OR(ACTIVIDADES!$I51="",AH$4=""),"",IF(ACTIVIDADES!$I51=AH$4,"●",IF(AND(ACTIVIDADES!$H51&lt;=AH$4,ACTIVIDADES!$I51&gt;=AH$4),"·","")))</f>
        <v/>
      </c>
      <c r="AJ51" t="str">
        <f>IF(ACTIVIDADES!K51="","",ACTIVIDADES!K51)</f>
        <v>Pendiente</v>
      </c>
    </row>
    <row r="52" spans="1:36">
      <c r="A52" t="str">
        <f>IF(ACTIVIDADES!A52="","",ACTIVIDADES!A52)</f>
        <v>07.06</v>
      </c>
      <c r="B52" t="str">
        <f>IF(ACTIVIDADES!B52="","",ACTIVIDADES!B52)</f>
        <v>CELEC - GUAYAQUIL</v>
      </c>
      <c r="C52" t="str">
        <f>IF(ACTIVIDADES!C52="","",ACTIVIDADES!C52)</f>
        <v>Corte</v>
      </c>
      <c r="D52" t="str">
        <f>IF(ACTIVIDADES!D52="","",ACTIVIDADES!D52)</f>
        <v>Preparar y entregar corte del día 26</v>
      </c>
      <c r="E52" s="8" t="str">
        <f>IF(OR(ACTIVIDADES!$I52="",D$4=""),"",IF(ACTIVIDADES!$I52=D$4,"●",IF(AND(ACTIVIDADES!$H52&lt;=D$4,ACTIVIDADES!$I52&gt;=D$4),"·","")))</f>
        <v/>
      </c>
      <c r="F52" s="8" t="str">
        <f>IF(OR(ACTIVIDADES!$I52="",E$4=""),"",IF(ACTIVIDADES!$I52=E$4,"●",IF(AND(ACTIVIDADES!$H52&lt;=E$4,ACTIVIDADES!$I52&gt;=E$4),"·","")))</f>
        <v/>
      </c>
      <c r="G52" s="8" t="str">
        <f>IF(OR(ACTIVIDADES!$I52="",F$4=""),"",IF(ACTIVIDADES!$I52=F$4,"●",IF(AND(ACTIVIDADES!$H52&lt;=F$4,ACTIVIDADES!$I52&gt;=F$4),"·","")))</f>
        <v/>
      </c>
      <c r="H52" s="8" t="str">
        <f>IF(OR(ACTIVIDADES!$I52="",G$4=""),"",IF(ACTIVIDADES!$I52=G$4,"●",IF(AND(ACTIVIDADES!$H52&lt;=G$4,ACTIVIDADES!$I52&gt;=G$4),"·","")))</f>
        <v/>
      </c>
      <c r="I52" s="8" t="str">
        <f>IF(OR(ACTIVIDADES!$I52="",H$4=""),"",IF(ACTIVIDADES!$I52=H$4,"●",IF(AND(ACTIVIDADES!$H52&lt;=H$4,ACTIVIDADES!$I52&gt;=H$4),"·","")))</f>
        <v/>
      </c>
      <c r="J52" s="8" t="str">
        <f>IF(OR(ACTIVIDADES!$I52="",I$4=""),"",IF(ACTIVIDADES!$I52=I$4,"●",IF(AND(ACTIVIDADES!$H52&lt;=I$4,ACTIVIDADES!$I52&gt;=I$4),"·","")))</f>
        <v/>
      </c>
      <c r="K52" s="8" t="str">
        <f>IF(OR(ACTIVIDADES!$I52="",J$4=""),"",IF(ACTIVIDADES!$I52=J$4,"●",IF(AND(ACTIVIDADES!$H52&lt;=J$4,ACTIVIDADES!$I52&gt;=J$4),"·","")))</f>
        <v/>
      </c>
      <c r="L52" s="8" t="str">
        <f>IF(OR(ACTIVIDADES!$I52="",K$4=""),"",IF(ACTIVIDADES!$I52=K$4,"●",IF(AND(ACTIVIDADES!$H52&lt;=K$4,ACTIVIDADES!$I52&gt;=K$4),"·","")))</f>
        <v/>
      </c>
      <c r="M52" s="8" t="str">
        <f>IF(OR(ACTIVIDADES!$I52="",L$4=""),"",IF(ACTIVIDADES!$I52=L$4,"●",IF(AND(ACTIVIDADES!$H52&lt;=L$4,ACTIVIDADES!$I52&gt;=L$4),"·","")))</f>
        <v/>
      </c>
      <c r="N52" s="8" t="str">
        <f>IF(OR(ACTIVIDADES!$I52="",M$4=""),"",IF(ACTIVIDADES!$I52=M$4,"●",IF(AND(ACTIVIDADES!$H52&lt;=M$4,ACTIVIDADES!$I52&gt;=M$4),"·","")))</f>
        <v/>
      </c>
      <c r="O52" s="8" t="str">
        <f>IF(OR(ACTIVIDADES!$I52="",N$4=""),"",IF(ACTIVIDADES!$I52=N$4,"●",IF(AND(ACTIVIDADES!$H52&lt;=N$4,ACTIVIDADES!$I52&gt;=N$4),"·","")))</f>
        <v/>
      </c>
      <c r="P52" s="8" t="str">
        <f>IF(OR(ACTIVIDADES!$I52="",O$4=""),"",IF(ACTIVIDADES!$I52=O$4,"●",IF(AND(ACTIVIDADES!$H52&lt;=O$4,ACTIVIDADES!$I52&gt;=O$4),"·","")))</f>
        <v/>
      </c>
      <c r="Q52" s="8" t="str">
        <f>IF(OR(ACTIVIDADES!$I52="",P$4=""),"",IF(ACTIVIDADES!$I52=P$4,"●",IF(AND(ACTIVIDADES!$H52&lt;=P$4,ACTIVIDADES!$I52&gt;=P$4),"·","")))</f>
        <v/>
      </c>
      <c r="R52" s="8" t="str">
        <f>IF(OR(ACTIVIDADES!$I52="",Q$4=""),"",IF(ACTIVIDADES!$I52=Q$4,"●",IF(AND(ACTIVIDADES!$H52&lt;=Q$4,ACTIVIDADES!$I52&gt;=Q$4),"·","")))</f>
        <v/>
      </c>
      <c r="S52" s="8" t="str">
        <f>IF(OR(ACTIVIDADES!$I52="",R$4=""),"",IF(ACTIVIDADES!$I52=R$4,"●",IF(AND(ACTIVIDADES!$H52&lt;=R$4,ACTIVIDADES!$I52&gt;=R$4),"·","")))</f>
        <v/>
      </c>
      <c r="T52" s="8" t="str">
        <f>IF(OR(ACTIVIDADES!$I52="",S$4=""),"",IF(ACTIVIDADES!$I52=S$4,"●",IF(AND(ACTIVIDADES!$H52&lt;=S$4,ACTIVIDADES!$I52&gt;=S$4),"·","")))</f>
        <v/>
      </c>
      <c r="U52" s="8" t="str">
        <f>IF(OR(ACTIVIDADES!$I52="",T$4=""),"",IF(ACTIVIDADES!$I52=T$4,"●",IF(AND(ACTIVIDADES!$H52&lt;=T$4,ACTIVIDADES!$I52&gt;=T$4),"·","")))</f>
        <v/>
      </c>
      <c r="V52" s="8" t="str">
        <f>IF(OR(ACTIVIDADES!$I52="",U$4=""),"",IF(ACTIVIDADES!$I52=U$4,"●",IF(AND(ACTIVIDADES!$H52&lt;=U$4,ACTIVIDADES!$I52&gt;=U$4),"·","")))</f>
        <v/>
      </c>
      <c r="W52" s="8" t="str">
        <f>IF(OR(ACTIVIDADES!$I52="",V$4=""),"",IF(ACTIVIDADES!$I52=V$4,"●",IF(AND(ACTIVIDADES!$H52&lt;=V$4,ACTIVIDADES!$I52&gt;=V$4),"·","")))</f>
        <v/>
      </c>
      <c r="X52" s="8" t="str">
        <f>IF(OR(ACTIVIDADES!$I52="",W$4=""),"",IF(ACTIVIDADES!$I52=W$4,"●",IF(AND(ACTIVIDADES!$H52&lt;=W$4,ACTIVIDADES!$I52&gt;=W$4),"·","")))</f>
        <v/>
      </c>
      <c r="Y52" s="8" t="str">
        <f>IF(OR(ACTIVIDADES!$I52="",X$4=""),"",IF(ACTIVIDADES!$I52=X$4,"●",IF(AND(ACTIVIDADES!$H52&lt;=X$4,ACTIVIDADES!$I52&gt;=X$4),"·","")))</f>
        <v/>
      </c>
      <c r="Z52" s="8" t="str">
        <f>IF(OR(ACTIVIDADES!$I52="",Y$4=""),"",IF(ACTIVIDADES!$I52=Y$4,"●",IF(AND(ACTIVIDADES!$H52&lt;=Y$4,ACTIVIDADES!$I52&gt;=Y$4),"·","")))</f>
        <v/>
      </c>
      <c r="AA52" s="8" t="str">
        <f>IF(OR(ACTIVIDADES!$I52="",Z$4=""),"",IF(ACTIVIDADES!$I52=Z$4,"●",IF(AND(ACTIVIDADES!$H52&lt;=Z$4,ACTIVIDADES!$I52&gt;=Z$4),"·","")))</f>
        <v/>
      </c>
      <c r="AB52" s="8" t="str">
        <f>IF(OR(ACTIVIDADES!$I52="",AA$4=""),"",IF(ACTIVIDADES!$I52=AA$4,"●",IF(AND(ACTIVIDADES!$H52&lt;=AA$4,ACTIVIDADES!$I52&gt;=AA$4),"·","")))</f>
        <v/>
      </c>
      <c r="AC52" s="8" t="str">
        <f>IF(OR(ACTIVIDADES!$I52="",AB$4=""),"",IF(ACTIVIDADES!$I52=AB$4,"●",IF(AND(ACTIVIDADES!$H52&lt;=AB$4,ACTIVIDADES!$I52&gt;=AB$4),"·","")))</f>
        <v/>
      </c>
      <c r="AD52" s="8" t="str">
        <f>IF(OR(ACTIVIDADES!$I52="",AC$4=""),"",IF(ACTIVIDADES!$I52=AC$4,"●",IF(AND(ACTIVIDADES!$H52&lt;=AC$4,ACTIVIDADES!$I52&gt;=AC$4),"·","")))</f>
        <v/>
      </c>
      <c r="AE52" s="8" t="str">
        <f>IF(OR(ACTIVIDADES!$I52="",AD$4=""),"",IF(ACTIVIDADES!$I52=AD$4,"●",IF(AND(ACTIVIDADES!$H52&lt;=AD$4,ACTIVIDADES!$I52&gt;=AD$4),"·","")))</f>
        <v>●</v>
      </c>
      <c r="AF52" s="8" t="str">
        <f>IF(OR(ACTIVIDADES!$I52="",AE$4=""),"",IF(ACTIVIDADES!$I52=AE$4,"●",IF(AND(ACTIVIDADES!$H52&lt;=AE$4,ACTIVIDADES!$I52&gt;=AE$4),"·","")))</f>
        <v/>
      </c>
      <c r="AG52" s="8" t="str">
        <f>IF(OR(ACTIVIDADES!$I52="",AF$4=""),"",IF(ACTIVIDADES!$I52=AF$4,"●",IF(AND(ACTIVIDADES!$H52&lt;=AF$4,ACTIVIDADES!$I52&gt;=AF$4),"·","")))</f>
        <v/>
      </c>
      <c r="AH52" s="8" t="str">
        <f>IF(OR(ACTIVIDADES!$I52="",AG$4=""),"",IF(ACTIVIDADES!$I52=AG$4,"●",IF(AND(ACTIVIDADES!$H52&lt;=AG$4,ACTIVIDADES!$I52&gt;=AG$4),"·","")))</f>
        <v/>
      </c>
      <c r="AI52" s="8" t="str">
        <f>IF(OR(ACTIVIDADES!$I52="",AH$4=""),"",IF(ACTIVIDADES!$I52=AH$4,"●",IF(AND(ACTIVIDADES!$H52&lt;=AH$4,ACTIVIDADES!$I52&gt;=AH$4),"·","")))</f>
        <v/>
      </c>
      <c r="AJ52" t="str">
        <f>IF(ACTIVIDADES!K52="","",ACTIVIDADES!K52)</f>
        <v>Pendiente</v>
      </c>
    </row>
    <row r="53" spans="1:36">
      <c r="A53" t="str">
        <f>IF(ACTIVIDADES!A53="","",ACTIVIDADES!A53)</f>
        <v>07.07</v>
      </c>
      <c r="B53" t="str">
        <f>IF(ACTIVIDADES!B53="","",ACTIVIDADES!B53)</f>
        <v>CELEC - GUAYAQUIL</v>
      </c>
      <c r="C53" t="str">
        <f>IF(ACTIVIDADES!C53="","",ACTIVIDADES!C53)</f>
        <v>Corte</v>
      </c>
      <c r="D53" t="str">
        <f>IF(ACTIVIDADES!D53="","",ACTIVIDADES!D53)</f>
        <v>Preparar y entregar corte del día 30</v>
      </c>
      <c r="E53" s="8" t="str">
        <f>IF(OR(ACTIVIDADES!$I53="",D$4=""),"",IF(ACTIVIDADES!$I53=D$4,"●",IF(AND(ACTIVIDADES!$H53&lt;=D$4,ACTIVIDADES!$I53&gt;=D$4),"·","")))</f>
        <v/>
      </c>
      <c r="F53" s="8" t="str">
        <f>IF(OR(ACTIVIDADES!$I53="",E$4=""),"",IF(ACTIVIDADES!$I53=E$4,"●",IF(AND(ACTIVIDADES!$H53&lt;=E$4,ACTIVIDADES!$I53&gt;=E$4),"·","")))</f>
        <v/>
      </c>
      <c r="G53" s="8" t="str">
        <f>IF(OR(ACTIVIDADES!$I53="",F$4=""),"",IF(ACTIVIDADES!$I53=F$4,"●",IF(AND(ACTIVIDADES!$H53&lt;=F$4,ACTIVIDADES!$I53&gt;=F$4),"·","")))</f>
        <v/>
      </c>
      <c r="H53" s="8" t="str">
        <f>IF(OR(ACTIVIDADES!$I53="",G$4=""),"",IF(ACTIVIDADES!$I53=G$4,"●",IF(AND(ACTIVIDADES!$H53&lt;=G$4,ACTIVIDADES!$I53&gt;=G$4),"·","")))</f>
        <v/>
      </c>
      <c r="I53" s="8" t="str">
        <f>IF(OR(ACTIVIDADES!$I53="",H$4=""),"",IF(ACTIVIDADES!$I53=H$4,"●",IF(AND(ACTIVIDADES!$H53&lt;=H$4,ACTIVIDADES!$I53&gt;=H$4),"·","")))</f>
        <v/>
      </c>
      <c r="J53" s="8" t="str">
        <f>IF(OR(ACTIVIDADES!$I53="",I$4=""),"",IF(ACTIVIDADES!$I53=I$4,"●",IF(AND(ACTIVIDADES!$H53&lt;=I$4,ACTIVIDADES!$I53&gt;=I$4),"·","")))</f>
        <v/>
      </c>
      <c r="K53" s="8" t="str">
        <f>IF(OR(ACTIVIDADES!$I53="",J$4=""),"",IF(ACTIVIDADES!$I53=J$4,"●",IF(AND(ACTIVIDADES!$H53&lt;=J$4,ACTIVIDADES!$I53&gt;=J$4),"·","")))</f>
        <v/>
      </c>
      <c r="L53" s="8" t="str">
        <f>IF(OR(ACTIVIDADES!$I53="",K$4=""),"",IF(ACTIVIDADES!$I53=K$4,"●",IF(AND(ACTIVIDADES!$H53&lt;=K$4,ACTIVIDADES!$I53&gt;=K$4),"·","")))</f>
        <v/>
      </c>
      <c r="M53" s="8" t="str">
        <f>IF(OR(ACTIVIDADES!$I53="",L$4=""),"",IF(ACTIVIDADES!$I53=L$4,"●",IF(AND(ACTIVIDADES!$H53&lt;=L$4,ACTIVIDADES!$I53&gt;=L$4),"·","")))</f>
        <v/>
      </c>
      <c r="N53" s="8" t="str">
        <f>IF(OR(ACTIVIDADES!$I53="",M$4=""),"",IF(ACTIVIDADES!$I53=M$4,"●",IF(AND(ACTIVIDADES!$H53&lt;=M$4,ACTIVIDADES!$I53&gt;=M$4),"·","")))</f>
        <v/>
      </c>
      <c r="O53" s="8" t="str">
        <f>IF(OR(ACTIVIDADES!$I53="",N$4=""),"",IF(ACTIVIDADES!$I53=N$4,"●",IF(AND(ACTIVIDADES!$H53&lt;=N$4,ACTIVIDADES!$I53&gt;=N$4),"·","")))</f>
        <v/>
      </c>
      <c r="P53" s="8" t="str">
        <f>IF(OR(ACTIVIDADES!$I53="",O$4=""),"",IF(ACTIVIDADES!$I53=O$4,"●",IF(AND(ACTIVIDADES!$H53&lt;=O$4,ACTIVIDADES!$I53&gt;=O$4),"·","")))</f>
        <v/>
      </c>
      <c r="Q53" s="8" t="str">
        <f>IF(OR(ACTIVIDADES!$I53="",P$4=""),"",IF(ACTIVIDADES!$I53=P$4,"●",IF(AND(ACTIVIDADES!$H53&lt;=P$4,ACTIVIDADES!$I53&gt;=P$4),"·","")))</f>
        <v/>
      </c>
      <c r="R53" s="8" t="str">
        <f>IF(OR(ACTIVIDADES!$I53="",Q$4=""),"",IF(ACTIVIDADES!$I53=Q$4,"●",IF(AND(ACTIVIDADES!$H53&lt;=Q$4,ACTIVIDADES!$I53&gt;=Q$4),"·","")))</f>
        <v/>
      </c>
      <c r="S53" s="8" t="str">
        <f>IF(OR(ACTIVIDADES!$I53="",R$4=""),"",IF(ACTIVIDADES!$I53=R$4,"●",IF(AND(ACTIVIDADES!$H53&lt;=R$4,ACTIVIDADES!$I53&gt;=R$4),"·","")))</f>
        <v/>
      </c>
      <c r="T53" s="8" t="str">
        <f>IF(OR(ACTIVIDADES!$I53="",S$4=""),"",IF(ACTIVIDADES!$I53=S$4,"●",IF(AND(ACTIVIDADES!$H53&lt;=S$4,ACTIVIDADES!$I53&gt;=S$4),"·","")))</f>
        <v/>
      </c>
      <c r="U53" s="8" t="str">
        <f>IF(OR(ACTIVIDADES!$I53="",T$4=""),"",IF(ACTIVIDADES!$I53=T$4,"●",IF(AND(ACTIVIDADES!$H53&lt;=T$4,ACTIVIDADES!$I53&gt;=T$4),"·","")))</f>
        <v/>
      </c>
      <c r="V53" s="8" t="str">
        <f>IF(OR(ACTIVIDADES!$I53="",U$4=""),"",IF(ACTIVIDADES!$I53=U$4,"●",IF(AND(ACTIVIDADES!$H53&lt;=U$4,ACTIVIDADES!$I53&gt;=U$4),"·","")))</f>
        <v/>
      </c>
      <c r="W53" s="8" t="str">
        <f>IF(OR(ACTIVIDADES!$I53="",V$4=""),"",IF(ACTIVIDADES!$I53=V$4,"●",IF(AND(ACTIVIDADES!$H53&lt;=V$4,ACTIVIDADES!$I53&gt;=V$4),"·","")))</f>
        <v/>
      </c>
      <c r="X53" s="8" t="str">
        <f>IF(OR(ACTIVIDADES!$I53="",W$4=""),"",IF(ACTIVIDADES!$I53=W$4,"●",IF(AND(ACTIVIDADES!$H53&lt;=W$4,ACTIVIDADES!$I53&gt;=W$4),"·","")))</f>
        <v/>
      </c>
      <c r="Y53" s="8" t="str">
        <f>IF(OR(ACTIVIDADES!$I53="",X$4=""),"",IF(ACTIVIDADES!$I53=X$4,"●",IF(AND(ACTIVIDADES!$H53&lt;=X$4,ACTIVIDADES!$I53&gt;=X$4),"·","")))</f>
        <v/>
      </c>
      <c r="Z53" s="8" t="str">
        <f>IF(OR(ACTIVIDADES!$I53="",Y$4=""),"",IF(ACTIVIDADES!$I53=Y$4,"●",IF(AND(ACTIVIDADES!$H53&lt;=Y$4,ACTIVIDADES!$I53&gt;=Y$4),"·","")))</f>
        <v/>
      </c>
      <c r="AA53" s="8" t="str">
        <f>IF(OR(ACTIVIDADES!$I53="",Z$4=""),"",IF(ACTIVIDADES!$I53=Z$4,"●",IF(AND(ACTIVIDADES!$H53&lt;=Z$4,ACTIVIDADES!$I53&gt;=Z$4),"·","")))</f>
        <v/>
      </c>
      <c r="AB53" s="8" t="str">
        <f>IF(OR(ACTIVIDADES!$I53="",AA$4=""),"",IF(ACTIVIDADES!$I53=AA$4,"●",IF(AND(ACTIVIDADES!$H53&lt;=AA$4,ACTIVIDADES!$I53&gt;=AA$4),"·","")))</f>
        <v/>
      </c>
      <c r="AC53" s="8" t="str">
        <f>IF(OR(ACTIVIDADES!$I53="",AB$4=""),"",IF(ACTIVIDADES!$I53=AB$4,"●",IF(AND(ACTIVIDADES!$H53&lt;=AB$4,ACTIVIDADES!$I53&gt;=AB$4),"·","")))</f>
        <v/>
      </c>
      <c r="AD53" s="8" t="str">
        <f>IF(OR(ACTIVIDADES!$I53="",AC$4=""),"",IF(ACTIVIDADES!$I53=AC$4,"●",IF(AND(ACTIVIDADES!$H53&lt;=AC$4,ACTIVIDADES!$I53&gt;=AC$4),"·","")))</f>
        <v/>
      </c>
      <c r="AE53" s="8" t="str">
        <f>IF(OR(ACTIVIDADES!$I53="",AD$4=""),"",IF(ACTIVIDADES!$I53=AD$4,"●",IF(AND(ACTIVIDADES!$H53&lt;=AD$4,ACTIVIDADES!$I53&gt;=AD$4),"·","")))</f>
        <v/>
      </c>
      <c r="AF53" s="8" t="str">
        <f>IF(OR(ACTIVIDADES!$I53="",AE$4=""),"",IF(ACTIVIDADES!$I53=AE$4,"●",IF(AND(ACTIVIDADES!$H53&lt;=AE$4,ACTIVIDADES!$I53&gt;=AE$4),"·","")))</f>
        <v/>
      </c>
      <c r="AG53" s="8" t="str">
        <f>IF(OR(ACTIVIDADES!$I53="",AF$4=""),"",IF(ACTIVIDADES!$I53=AF$4,"●",IF(AND(ACTIVIDADES!$H53&lt;=AF$4,ACTIVIDADES!$I53&gt;=AF$4),"·","")))</f>
        <v/>
      </c>
      <c r="AH53" s="8" t="str">
        <f>IF(OR(ACTIVIDADES!$I53="",AG$4=""),"",IF(ACTIVIDADES!$I53=AG$4,"●",IF(AND(ACTIVIDADES!$H53&lt;=AG$4,ACTIVIDADES!$I53&gt;=AG$4),"·","")))</f>
        <v/>
      </c>
      <c r="AI53" s="8" t="str">
        <f>IF(OR(ACTIVIDADES!$I53="",AH$4=""),"",IF(ACTIVIDADES!$I53=AH$4,"●",IF(AND(ACTIVIDADES!$H53&lt;=AH$4,ACTIVIDADES!$I53&gt;=AH$4),"·","")))</f>
        <v>●</v>
      </c>
      <c r="AJ53" t="str">
        <f>IF(ACTIVIDADES!K53="","",ACTIVIDADES!K53)</f>
        <v>Pendiente</v>
      </c>
    </row>
    <row r="54" spans="1:36">
      <c r="A54" t="str">
        <f>IF(ACTIVIDADES!A54="","",ACTIVIDADES!A54)</f>
        <v>08.01</v>
      </c>
      <c r="B54" t="str">
        <f>IF(ACTIVIDADES!B54="","",ACTIVIDADES!B54)</f>
        <v>MSP</v>
      </c>
      <c r="C54" t="str">
        <f>IF(ACTIVIDADES!C54="","",ACTIVIDADES!C54)</f>
        <v>Informe</v>
      </c>
      <c r="D54" t="str">
        <f>IF(ACTIVIDADES!D54="","",ACTIVIDADES!D54)</f>
        <v>Solicitar y entregar informe mensual</v>
      </c>
      <c r="E54" s="8" t="str">
        <f>IF(OR(ACTIVIDADES!$I54="",D$4=""),"",IF(ACTIVIDADES!$I54=D$4,"●",IF(AND(ACTIVIDADES!$H54&lt;=D$4,ACTIVIDADES!$I54&gt;=D$4),"·","")))</f>
        <v/>
      </c>
      <c r="F54" s="8" t="str">
        <f>IF(OR(ACTIVIDADES!$I54="",E$4=""),"",IF(ACTIVIDADES!$I54=E$4,"●",IF(AND(ACTIVIDADES!$H54&lt;=E$4,ACTIVIDADES!$I54&gt;=E$4),"·","")))</f>
        <v/>
      </c>
      <c r="G54" s="8" t="str">
        <f>IF(OR(ACTIVIDADES!$I54="",F$4=""),"",IF(ACTIVIDADES!$I54=F$4,"●",IF(AND(ACTIVIDADES!$H54&lt;=F$4,ACTIVIDADES!$I54&gt;=F$4),"·","")))</f>
        <v/>
      </c>
      <c r="H54" s="8" t="str">
        <f>IF(OR(ACTIVIDADES!$I54="",G$4=""),"",IF(ACTIVIDADES!$I54=G$4,"●",IF(AND(ACTIVIDADES!$H54&lt;=G$4,ACTIVIDADES!$I54&gt;=G$4),"·","")))</f>
        <v/>
      </c>
      <c r="I54" s="8" t="str">
        <f>IF(OR(ACTIVIDADES!$I54="",H$4=""),"",IF(ACTIVIDADES!$I54=H$4,"●",IF(AND(ACTIVIDADES!$H54&lt;=H$4,ACTIVIDADES!$I54&gt;=H$4),"·","")))</f>
        <v/>
      </c>
      <c r="J54" s="8" t="str">
        <f>IF(OR(ACTIVIDADES!$I54="",I$4=""),"",IF(ACTIVIDADES!$I54=I$4,"●",IF(AND(ACTIVIDADES!$H54&lt;=I$4,ACTIVIDADES!$I54&gt;=I$4),"·","")))</f>
        <v/>
      </c>
      <c r="K54" s="8" t="str">
        <f>IF(OR(ACTIVIDADES!$I54="",J$4=""),"",IF(ACTIVIDADES!$I54=J$4,"●",IF(AND(ACTIVIDADES!$H54&lt;=J$4,ACTIVIDADES!$I54&gt;=J$4),"·","")))</f>
        <v/>
      </c>
      <c r="L54" s="8" t="str">
        <f>IF(OR(ACTIVIDADES!$I54="",K$4=""),"",IF(ACTIVIDADES!$I54=K$4,"●",IF(AND(ACTIVIDADES!$H54&lt;=K$4,ACTIVIDADES!$I54&gt;=K$4),"·","")))</f>
        <v/>
      </c>
      <c r="M54" s="8" t="str">
        <f>IF(OR(ACTIVIDADES!$I54="",L$4=""),"",IF(ACTIVIDADES!$I54=L$4,"●",IF(AND(ACTIVIDADES!$H54&lt;=L$4,ACTIVIDADES!$I54&gt;=L$4),"·","")))</f>
        <v/>
      </c>
      <c r="N54" s="8" t="str">
        <f>IF(OR(ACTIVIDADES!$I54="",M$4=""),"",IF(ACTIVIDADES!$I54=M$4,"●",IF(AND(ACTIVIDADES!$H54&lt;=M$4,ACTIVIDADES!$I54&gt;=M$4),"·","")))</f>
        <v/>
      </c>
      <c r="O54" s="8" t="str">
        <f>IF(OR(ACTIVIDADES!$I54="",N$4=""),"",IF(ACTIVIDADES!$I54=N$4,"●",IF(AND(ACTIVIDADES!$H54&lt;=N$4,ACTIVIDADES!$I54&gt;=N$4),"·","")))</f>
        <v/>
      </c>
      <c r="P54" s="8" t="str">
        <f>IF(OR(ACTIVIDADES!$I54="",O$4=""),"",IF(ACTIVIDADES!$I54=O$4,"●",IF(AND(ACTIVIDADES!$H54&lt;=O$4,ACTIVIDADES!$I54&gt;=O$4),"·","")))</f>
        <v>·</v>
      </c>
      <c r="Q54" s="8" t="str">
        <f>IF(OR(ACTIVIDADES!$I54="",P$4=""),"",IF(ACTIVIDADES!$I54=P$4,"●",IF(AND(ACTIVIDADES!$H54&lt;=P$4,ACTIVIDADES!$I54&gt;=P$4),"·","")))</f>
        <v>·</v>
      </c>
      <c r="R54" s="8" t="str">
        <f>IF(OR(ACTIVIDADES!$I54="",Q$4=""),"",IF(ACTIVIDADES!$I54=Q$4,"●",IF(AND(ACTIVIDADES!$H54&lt;=Q$4,ACTIVIDADES!$I54&gt;=Q$4),"·","")))</f>
        <v>●</v>
      </c>
      <c r="S54" s="8" t="str">
        <f>IF(OR(ACTIVIDADES!$I54="",R$4=""),"",IF(ACTIVIDADES!$I54=R$4,"●",IF(AND(ACTIVIDADES!$H54&lt;=R$4,ACTIVIDADES!$I54&gt;=R$4),"·","")))</f>
        <v/>
      </c>
      <c r="T54" s="8" t="str">
        <f>IF(OR(ACTIVIDADES!$I54="",S$4=""),"",IF(ACTIVIDADES!$I54=S$4,"●",IF(AND(ACTIVIDADES!$H54&lt;=S$4,ACTIVIDADES!$I54&gt;=S$4),"·","")))</f>
        <v/>
      </c>
      <c r="U54" s="8" t="str">
        <f>IF(OR(ACTIVIDADES!$I54="",T$4=""),"",IF(ACTIVIDADES!$I54=T$4,"●",IF(AND(ACTIVIDADES!$H54&lt;=T$4,ACTIVIDADES!$I54&gt;=T$4),"·","")))</f>
        <v/>
      </c>
      <c r="V54" s="8" t="str">
        <f>IF(OR(ACTIVIDADES!$I54="",U$4=""),"",IF(ACTIVIDADES!$I54=U$4,"●",IF(AND(ACTIVIDADES!$H54&lt;=U$4,ACTIVIDADES!$I54&gt;=U$4),"·","")))</f>
        <v/>
      </c>
      <c r="W54" s="8" t="str">
        <f>IF(OR(ACTIVIDADES!$I54="",V$4=""),"",IF(ACTIVIDADES!$I54=V$4,"●",IF(AND(ACTIVIDADES!$H54&lt;=V$4,ACTIVIDADES!$I54&gt;=V$4),"·","")))</f>
        <v/>
      </c>
      <c r="X54" s="8" t="str">
        <f>IF(OR(ACTIVIDADES!$I54="",W$4=""),"",IF(ACTIVIDADES!$I54=W$4,"●",IF(AND(ACTIVIDADES!$H54&lt;=W$4,ACTIVIDADES!$I54&gt;=W$4),"·","")))</f>
        <v/>
      </c>
      <c r="Y54" s="8" t="str">
        <f>IF(OR(ACTIVIDADES!$I54="",X$4=""),"",IF(ACTIVIDADES!$I54=X$4,"●",IF(AND(ACTIVIDADES!$H54&lt;=X$4,ACTIVIDADES!$I54&gt;=X$4),"·","")))</f>
        <v/>
      </c>
      <c r="Z54" s="8" t="str">
        <f>IF(OR(ACTIVIDADES!$I54="",Y$4=""),"",IF(ACTIVIDADES!$I54=Y$4,"●",IF(AND(ACTIVIDADES!$H54&lt;=Y$4,ACTIVIDADES!$I54&gt;=Y$4),"·","")))</f>
        <v/>
      </c>
      <c r="AA54" s="8" t="str">
        <f>IF(OR(ACTIVIDADES!$I54="",Z$4=""),"",IF(ACTIVIDADES!$I54=Z$4,"●",IF(AND(ACTIVIDADES!$H54&lt;=Z$4,ACTIVIDADES!$I54&gt;=Z$4),"·","")))</f>
        <v/>
      </c>
      <c r="AB54" s="8" t="str">
        <f>IF(OR(ACTIVIDADES!$I54="",AA$4=""),"",IF(ACTIVIDADES!$I54=AA$4,"●",IF(AND(ACTIVIDADES!$H54&lt;=AA$4,ACTIVIDADES!$I54&gt;=AA$4),"·","")))</f>
        <v/>
      </c>
      <c r="AC54" s="8" t="str">
        <f>IF(OR(ACTIVIDADES!$I54="",AB$4=""),"",IF(ACTIVIDADES!$I54=AB$4,"●",IF(AND(ACTIVIDADES!$H54&lt;=AB$4,ACTIVIDADES!$I54&gt;=AB$4),"·","")))</f>
        <v/>
      </c>
      <c r="AD54" s="8" t="str">
        <f>IF(OR(ACTIVIDADES!$I54="",AC$4=""),"",IF(ACTIVIDADES!$I54=AC$4,"●",IF(AND(ACTIVIDADES!$H54&lt;=AC$4,ACTIVIDADES!$I54&gt;=AC$4),"·","")))</f>
        <v/>
      </c>
      <c r="AE54" s="8" t="str">
        <f>IF(OR(ACTIVIDADES!$I54="",AD$4=""),"",IF(ACTIVIDADES!$I54=AD$4,"●",IF(AND(ACTIVIDADES!$H54&lt;=AD$4,ACTIVIDADES!$I54&gt;=AD$4),"·","")))</f>
        <v/>
      </c>
      <c r="AF54" s="8" t="str">
        <f>IF(OR(ACTIVIDADES!$I54="",AE$4=""),"",IF(ACTIVIDADES!$I54=AE$4,"●",IF(AND(ACTIVIDADES!$H54&lt;=AE$4,ACTIVIDADES!$I54&gt;=AE$4),"·","")))</f>
        <v/>
      </c>
      <c r="AG54" s="8" t="str">
        <f>IF(OR(ACTIVIDADES!$I54="",AF$4=""),"",IF(ACTIVIDADES!$I54=AF$4,"●",IF(AND(ACTIVIDADES!$H54&lt;=AF$4,ACTIVIDADES!$I54&gt;=AF$4),"·","")))</f>
        <v/>
      </c>
      <c r="AH54" s="8" t="str">
        <f>IF(OR(ACTIVIDADES!$I54="",AG$4=""),"",IF(ACTIVIDADES!$I54=AG$4,"●",IF(AND(ACTIVIDADES!$H54&lt;=AG$4,ACTIVIDADES!$I54&gt;=AG$4),"·","")))</f>
        <v/>
      </c>
      <c r="AI54" s="8" t="str">
        <f>IF(OR(ACTIVIDADES!$I54="",AH$4=""),"",IF(ACTIVIDADES!$I54=AH$4,"●",IF(AND(ACTIVIDADES!$H54&lt;=AH$4,ACTIVIDADES!$I54&gt;=AH$4),"·","")))</f>
        <v/>
      </c>
      <c r="AJ54" t="str">
        <f>IF(ACTIVIDADES!K54="","",ACTIVIDADES!K54)</f>
        <v>Pendiente</v>
      </c>
    </row>
    <row r="55" spans="1:36">
      <c r="A55" t="str">
        <f>IF(ACTIVIDADES!A55="","",ACTIVIDADES!A55)</f>
        <v>08.02</v>
      </c>
      <c r="B55" t="str">
        <f>IF(ACTIVIDADES!B55="","",ACTIVIDADES!B55)</f>
        <v>MSP</v>
      </c>
      <c r="C55" t="str">
        <f>IF(ACTIVIDADES!C55="","",ACTIVIDADES!C55)</f>
        <v>Abastecimiento</v>
      </c>
      <c r="D55" t="str">
        <f>IF(ACTIVIDADES!D55="","",ACTIVIDADES!D55)</f>
        <v>Solicitar requerimientos de insumos</v>
      </c>
      <c r="E55" s="8" t="str">
        <f>IF(OR(ACTIVIDADES!$I55="",D$4=""),"",IF(ACTIVIDADES!$I55=D$4,"●",IF(AND(ACTIVIDADES!$H55&lt;=D$4,ACTIVIDADES!$I55&gt;=D$4),"·","")))</f>
        <v/>
      </c>
      <c r="F55" s="8" t="str">
        <f>IF(OR(ACTIVIDADES!$I55="",E$4=""),"",IF(ACTIVIDADES!$I55=E$4,"●",IF(AND(ACTIVIDADES!$H55&lt;=E$4,ACTIVIDADES!$I55&gt;=E$4),"·","")))</f>
        <v/>
      </c>
      <c r="G55" s="8" t="str">
        <f>IF(OR(ACTIVIDADES!$I55="",F$4=""),"",IF(ACTIVIDADES!$I55=F$4,"●",IF(AND(ACTIVIDADES!$H55&lt;=F$4,ACTIVIDADES!$I55&gt;=F$4),"·","")))</f>
        <v/>
      </c>
      <c r="H55" s="8" t="str">
        <f>IF(OR(ACTIVIDADES!$I55="",G$4=""),"",IF(ACTIVIDADES!$I55=G$4,"●",IF(AND(ACTIVIDADES!$H55&lt;=G$4,ACTIVIDADES!$I55&gt;=G$4),"·","")))</f>
        <v/>
      </c>
      <c r="I55" s="8" t="str">
        <f>IF(OR(ACTIVIDADES!$I55="",H$4=""),"",IF(ACTIVIDADES!$I55=H$4,"●",IF(AND(ACTIVIDADES!$H55&lt;=H$4,ACTIVIDADES!$I55&gt;=H$4),"·","")))</f>
        <v/>
      </c>
      <c r="J55" s="8" t="str">
        <f>IF(OR(ACTIVIDADES!$I55="",I$4=""),"",IF(ACTIVIDADES!$I55=I$4,"●",IF(AND(ACTIVIDADES!$H55&lt;=I$4,ACTIVIDADES!$I55&gt;=I$4),"·","")))</f>
        <v/>
      </c>
      <c r="K55" s="8" t="str">
        <f>IF(OR(ACTIVIDADES!$I55="",J$4=""),"",IF(ACTIVIDADES!$I55=J$4,"●",IF(AND(ACTIVIDADES!$H55&lt;=J$4,ACTIVIDADES!$I55&gt;=J$4),"·","")))</f>
        <v/>
      </c>
      <c r="L55" s="8" t="str">
        <f>IF(OR(ACTIVIDADES!$I55="",K$4=""),"",IF(ACTIVIDADES!$I55=K$4,"●",IF(AND(ACTIVIDADES!$H55&lt;=K$4,ACTIVIDADES!$I55&gt;=K$4),"·","")))</f>
        <v/>
      </c>
      <c r="M55" s="8" t="str">
        <f>IF(OR(ACTIVIDADES!$I55="",L$4=""),"",IF(ACTIVIDADES!$I55=L$4,"●",IF(AND(ACTIVIDADES!$H55&lt;=L$4,ACTIVIDADES!$I55&gt;=L$4),"·","")))</f>
        <v/>
      </c>
      <c r="N55" s="8" t="str">
        <f>IF(OR(ACTIVIDADES!$I55="",M$4=""),"",IF(ACTIVIDADES!$I55=M$4,"●",IF(AND(ACTIVIDADES!$H55&lt;=M$4,ACTIVIDADES!$I55&gt;=M$4),"·","")))</f>
        <v/>
      </c>
      <c r="O55" s="8" t="str">
        <f>IF(OR(ACTIVIDADES!$I55="",N$4=""),"",IF(ACTIVIDADES!$I55=N$4,"●",IF(AND(ACTIVIDADES!$H55&lt;=N$4,ACTIVIDADES!$I55&gt;=N$4),"·","")))</f>
        <v/>
      </c>
      <c r="P55" s="8" t="str">
        <f>IF(OR(ACTIVIDADES!$I55="",O$4=""),"",IF(ACTIVIDADES!$I55=O$4,"●",IF(AND(ACTIVIDADES!$H55&lt;=O$4,ACTIVIDADES!$I55&gt;=O$4),"·","")))</f>
        <v/>
      </c>
      <c r="Q55" s="8" t="str">
        <f>IF(OR(ACTIVIDADES!$I55="",P$4=""),"",IF(ACTIVIDADES!$I55=P$4,"●",IF(AND(ACTIVIDADES!$H55&lt;=P$4,ACTIVIDADES!$I55&gt;=P$4),"·","")))</f>
        <v/>
      </c>
      <c r="R55" s="8" t="str">
        <f>IF(OR(ACTIVIDADES!$I55="",Q$4=""),"",IF(ACTIVIDADES!$I55=Q$4,"●",IF(AND(ACTIVIDADES!$H55&lt;=Q$4,ACTIVIDADES!$I55&gt;=Q$4),"·","")))</f>
        <v/>
      </c>
      <c r="S55" s="8" t="str">
        <f>IF(OR(ACTIVIDADES!$I55="",R$4=""),"",IF(ACTIVIDADES!$I55=R$4,"●",IF(AND(ACTIVIDADES!$H55&lt;=R$4,ACTIVIDADES!$I55&gt;=R$4),"·","")))</f>
        <v/>
      </c>
      <c r="T55" s="8" t="str">
        <f>IF(OR(ACTIVIDADES!$I55="",S$4=""),"",IF(ACTIVIDADES!$I55=S$4,"●",IF(AND(ACTIVIDADES!$H55&lt;=S$4,ACTIVIDADES!$I55&gt;=S$4),"·","")))</f>
        <v/>
      </c>
      <c r="U55" s="8" t="str">
        <f>IF(OR(ACTIVIDADES!$I55="",T$4=""),"",IF(ACTIVIDADES!$I55=T$4,"●",IF(AND(ACTIVIDADES!$H55&lt;=T$4,ACTIVIDADES!$I55&gt;=T$4),"·","")))</f>
        <v/>
      </c>
      <c r="V55" s="8" t="str">
        <f>IF(OR(ACTIVIDADES!$I55="",U$4=""),"",IF(ACTIVIDADES!$I55=U$4,"●",IF(AND(ACTIVIDADES!$H55&lt;=U$4,ACTIVIDADES!$I55&gt;=U$4),"·","")))</f>
        <v/>
      </c>
      <c r="W55" s="8" t="str">
        <f>IF(OR(ACTIVIDADES!$I55="",V$4=""),"",IF(ACTIVIDADES!$I55=V$4,"●",IF(AND(ACTIVIDADES!$H55&lt;=V$4,ACTIVIDADES!$I55&gt;=V$4),"·","")))</f>
        <v/>
      </c>
      <c r="X55" s="8" t="str">
        <f>IF(OR(ACTIVIDADES!$I55="",W$4=""),"",IF(ACTIVIDADES!$I55=W$4,"●",IF(AND(ACTIVIDADES!$H55&lt;=W$4,ACTIVIDADES!$I55&gt;=W$4),"·","")))</f>
        <v/>
      </c>
      <c r="Y55" s="8" t="str">
        <f>IF(OR(ACTIVIDADES!$I55="",X$4=""),"",IF(ACTIVIDADES!$I55=X$4,"●",IF(AND(ACTIVIDADES!$H55&lt;=X$4,ACTIVIDADES!$I55&gt;=X$4),"·","")))</f>
        <v/>
      </c>
      <c r="Z55" s="8" t="str">
        <f>IF(OR(ACTIVIDADES!$I55="",Y$4=""),"",IF(ACTIVIDADES!$I55=Y$4,"●",IF(AND(ACTIVIDADES!$H55&lt;=Y$4,ACTIVIDADES!$I55&gt;=Y$4),"·","")))</f>
        <v/>
      </c>
      <c r="AA55" s="8" t="str">
        <f>IF(OR(ACTIVIDADES!$I55="",Z$4=""),"",IF(ACTIVIDADES!$I55=Z$4,"●",IF(AND(ACTIVIDADES!$H55&lt;=Z$4,ACTIVIDADES!$I55&gt;=Z$4),"·","")))</f>
        <v/>
      </c>
      <c r="AB55" s="8" t="str">
        <f>IF(OR(ACTIVIDADES!$I55="",AA$4=""),"",IF(ACTIVIDADES!$I55=AA$4,"●",IF(AND(ACTIVIDADES!$H55&lt;=AA$4,ACTIVIDADES!$I55&gt;=AA$4),"·","")))</f>
        <v/>
      </c>
      <c r="AC55" s="8" t="str">
        <f>IF(OR(ACTIVIDADES!$I55="",AB$4=""),"",IF(ACTIVIDADES!$I55=AB$4,"●",IF(AND(ACTIVIDADES!$H55&lt;=AB$4,ACTIVIDADES!$I55&gt;=AB$4),"·","")))</f>
        <v>·</v>
      </c>
      <c r="AD55" s="8" t="str">
        <f>IF(OR(ACTIVIDADES!$I55="",AC$4=""),"",IF(ACTIVIDADES!$I55=AC$4,"●",IF(AND(ACTIVIDADES!$H55&lt;=AC$4,ACTIVIDADES!$I55&gt;=AC$4),"·","")))</f>
        <v>·</v>
      </c>
      <c r="AE55" s="8" t="str">
        <f>IF(OR(ACTIVIDADES!$I55="",AD$4=""),"",IF(ACTIVIDADES!$I55=AD$4,"●",IF(AND(ACTIVIDADES!$H55&lt;=AD$4,ACTIVIDADES!$I55&gt;=AD$4),"·","")))</f>
        <v>·</v>
      </c>
      <c r="AF55" s="8" t="str">
        <f>IF(OR(ACTIVIDADES!$I55="",AE$4=""),"",IF(ACTIVIDADES!$I55=AE$4,"●",IF(AND(ACTIVIDADES!$H55&lt;=AE$4,ACTIVIDADES!$I55&gt;=AE$4),"·","")))</f>
        <v>·</v>
      </c>
      <c r="AG55" s="8" t="str">
        <f>IF(OR(ACTIVIDADES!$I55="",AF$4=""),"",IF(ACTIVIDADES!$I55=AF$4,"●",IF(AND(ACTIVIDADES!$H55&lt;=AF$4,ACTIVIDADES!$I55&gt;=AF$4),"·","")))</f>
        <v>·</v>
      </c>
      <c r="AH55" s="8" t="str">
        <f>IF(OR(ACTIVIDADES!$I55="",AG$4=""),"",IF(ACTIVIDADES!$I55=AG$4,"●",IF(AND(ACTIVIDADES!$H55&lt;=AG$4,ACTIVIDADES!$I55&gt;=AG$4),"·","")))</f>
        <v>●</v>
      </c>
      <c r="AI55" s="8" t="str">
        <f>IF(OR(ACTIVIDADES!$I55="",AH$4=""),"",IF(ACTIVIDADES!$I55=AH$4,"●",IF(AND(ACTIVIDADES!$H55&lt;=AH$4,ACTIVIDADES!$I55&gt;=AH$4),"·","")))</f>
        <v/>
      </c>
      <c r="AJ55" t="str">
        <f>IF(ACTIVIDADES!K55="","",ACTIVIDADES!K55)</f>
        <v>Pendiente</v>
      </c>
    </row>
    <row r="56" spans="1:36">
      <c r="A56" t="str">
        <f>IF(ACTIVIDADES!A56="","",ACTIVIDADES!A56)</f>
        <v>08.03</v>
      </c>
      <c r="B56" t="str">
        <f>IF(ACTIVIDADES!B56="","",ACTIVIDADES!B56)</f>
        <v>MSP</v>
      </c>
      <c r="C56" t="str">
        <f>IF(ACTIVIDADES!C56="","",ACTIVIDADES!C56)</f>
        <v>Corte</v>
      </c>
      <c r="D56" t="str">
        <f>IF(ACTIVIDADES!D56="","",ACTIVIDADES!D56)</f>
        <v>Preparar y entregar corte del día 5</v>
      </c>
      <c r="E56" s="8" t="str">
        <f>IF(OR(ACTIVIDADES!$I56="",D$4=""),"",IF(ACTIVIDADES!$I56=D$4,"●",IF(AND(ACTIVIDADES!$H56&lt;=D$4,ACTIVIDADES!$I56&gt;=D$4),"·","")))</f>
        <v/>
      </c>
      <c r="F56" s="8" t="str">
        <f>IF(OR(ACTIVIDADES!$I56="",E$4=""),"",IF(ACTIVIDADES!$I56=E$4,"●",IF(AND(ACTIVIDADES!$H56&lt;=E$4,ACTIVIDADES!$I56&gt;=E$4),"·","")))</f>
        <v/>
      </c>
      <c r="G56" s="8" t="str">
        <f>IF(OR(ACTIVIDADES!$I56="",F$4=""),"",IF(ACTIVIDADES!$I56=F$4,"●",IF(AND(ACTIVIDADES!$H56&lt;=F$4,ACTIVIDADES!$I56&gt;=F$4),"·","")))</f>
        <v/>
      </c>
      <c r="H56" s="8" t="str">
        <f>IF(OR(ACTIVIDADES!$I56="",G$4=""),"",IF(ACTIVIDADES!$I56=G$4,"●",IF(AND(ACTIVIDADES!$H56&lt;=G$4,ACTIVIDADES!$I56&gt;=G$4),"·","")))</f>
        <v/>
      </c>
      <c r="I56" s="8" t="str">
        <f>IF(OR(ACTIVIDADES!$I56="",H$4=""),"",IF(ACTIVIDADES!$I56=H$4,"●",IF(AND(ACTIVIDADES!$H56&lt;=H$4,ACTIVIDADES!$I56&gt;=H$4),"·","")))</f>
        <v/>
      </c>
      <c r="J56" s="8" t="str">
        <f>IF(OR(ACTIVIDADES!$I56="",I$4=""),"",IF(ACTIVIDADES!$I56=I$4,"●",IF(AND(ACTIVIDADES!$H56&lt;=I$4,ACTIVIDADES!$I56&gt;=I$4),"·","")))</f>
        <v>●</v>
      </c>
      <c r="K56" s="8" t="str">
        <f>IF(OR(ACTIVIDADES!$I56="",J$4=""),"",IF(ACTIVIDADES!$I56=J$4,"●",IF(AND(ACTIVIDADES!$H56&lt;=J$4,ACTIVIDADES!$I56&gt;=J$4),"·","")))</f>
        <v/>
      </c>
      <c r="L56" s="8" t="str">
        <f>IF(OR(ACTIVIDADES!$I56="",K$4=""),"",IF(ACTIVIDADES!$I56=K$4,"●",IF(AND(ACTIVIDADES!$H56&lt;=K$4,ACTIVIDADES!$I56&gt;=K$4),"·","")))</f>
        <v/>
      </c>
      <c r="M56" s="8" t="str">
        <f>IF(OR(ACTIVIDADES!$I56="",L$4=""),"",IF(ACTIVIDADES!$I56=L$4,"●",IF(AND(ACTIVIDADES!$H56&lt;=L$4,ACTIVIDADES!$I56&gt;=L$4),"·","")))</f>
        <v/>
      </c>
      <c r="N56" s="8" t="str">
        <f>IF(OR(ACTIVIDADES!$I56="",M$4=""),"",IF(ACTIVIDADES!$I56=M$4,"●",IF(AND(ACTIVIDADES!$H56&lt;=M$4,ACTIVIDADES!$I56&gt;=M$4),"·","")))</f>
        <v/>
      </c>
      <c r="O56" s="8" t="str">
        <f>IF(OR(ACTIVIDADES!$I56="",N$4=""),"",IF(ACTIVIDADES!$I56=N$4,"●",IF(AND(ACTIVIDADES!$H56&lt;=N$4,ACTIVIDADES!$I56&gt;=N$4),"·","")))</f>
        <v/>
      </c>
      <c r="P56" s="8" t="str">
        <f>IF(OR(ACTIVIDADES!$I56="",O$4=""),"",IF(ACTIVIDADES!$I56=O$4,"●",IF(AND(ACTIVIDADES!$H56&lt;=O$4,ACTIVIDADES!$I56&gt;=O$4),"·","")))</f>
        <v/>
      </c>
      <c r="Q56" s="8" t="str">
        <f>IF(OR(ACTIVIDADES!$I56="",P$4=""),"",IF(ACTIVIDADES!$I56=P$4,"●",IF(AND(ACTIVIDADES!$H56&lt;=P$4,ACTIVIDADES!$I56&gt;=P$4),"·","")))</f>
        <v/>
      </c>
      <c r="R56" s="8" t="str">
        <f>IF(OR(ACTIVIDADES!$I56="",Q$4=""),"",IF(ACTIVIDADES!$I56=Q$4,"●",IF(AND(ACTIVIDADES!$H56&lt;=Q$4,ACTIVIDADES!$I56&gt;=Q$4),"·","")))</f>
        <v/>
      </c>
      <c r="S56" s="8" t="str">
        <f>IF(OR(ACTIVIDADES!$I56="",R$4=""),"",IF(ACTIVIDADES!$I56=R$4,"●",IF(AND(ACTIVIDADES!$H56&lt;=R$4,ACTIVIDADES!$I56&gt;=R$4),"·","")))</f>
        <v/>
      </c>
      <c r="T56" s="8" t="str">
        <f>IF(OR(ACTIVIDADES!$I56="",S$4=""),"",IF(ACTIVIDADES!$I56=S$4,"●",IF(AND(ACTIVIDADES!$H56&lt;=S$4,ACTIVIDADES!$I56&gt;=S$4),"·","")))</f>
        <v/>
      </c>
      <c r="U56" s="8" t="str">
        <f>IF(OR(ACTIVIDADES!$I56="",T$4=""),"",IF(ACTIVIDADES!$I56=T$4,"●",IF(AND(ACTIVIDADES!$H56&lt;=T$4,ACTIVIDADES!$I56&gt;=T$4),"·","")))</f>
        <v/>
      </c>
      <c r="V56" s="8" t="str">
        <f>IF(OR(ACTIVIDADES!$I56="",U$4=""),"",IF(ACTIVIDADES!$I56=U$4,"●",IF(AND(ACTIVIDADES!$H56&lt;=U$4,ACTIVIDADES!$I56&gt;=U$4),"·","")))</f>
        <v/>
      </c>
      <c r="W56" s="8" t="str">
        <f>IF(OR(ACTIVIDADES!$I56="",V$4=""),"",IF(ACTIVIDADES!$I56=V$4,"●",IF(AND(ACTIVIDADES!$H56&lt;=V$4,ACTIVIDADES!$I56&gt;=V$4),"·","")))</f>
        <v/>
      </c>
      <c r="X56" s="8" t="str">
        <f>IF(OR(ACTIVIDADES!$I56="",W$4=""),"",IF(ACTIVIDADES!$I56=W$4,"●",IF(AND(ACTIVIDADES!$H56&lt;=W$4,ACTIVIDADES!$I56&gt;=W$4),"·","")))</f>
        <v/>
      </c>
      <c r="Y56" s="8" t="str">
        <f>IF(OR(ACTIVIDADES!$I56="",X$4=""),"",IF(ACTIVIDADES!$I56=X$4,"●",IF(AND(ACTIVIDADES!$H56&lt;=X$4,ACTIVIDADES!$I56&gt;=X$4),"·","")))</f>
        <v/>
      </c>
      <c r="Z56" s="8" t="str">
        <f>IF(OR(ACTIVIDADES!$I56="",Y$4=""),"",IF(ACTIVIDADES!$I56=Y$4,"●",IF(AND(ACTIVIDADES!$H56&lt;=Y$4,ACTIVIDADES!$I56&gt;=Y$4),"·","")))</f>
        <v/>
      </c>
      <c r="AA56" s="8" t="str">
        <f>IF(OR(ACTIVIDADES!$I56="",Z$4=""),"",IF(ACTIVIDADES!$I56=Z$4,"●",IF(AND(ACTIVIDADES!$H56&lt;=Z$4,ACTIVIDADES!$I56&gt;=Z$4),"·","")))</f>
        <v/>
      </c>
      <c r="AB56" s="8" t="str">
        <f>IF(OR(ACTIVIDADES!$I56="",AA$4=""),"",IF(ACTIVIDADES!$I56=AA$4,"●",IF(AND(ACTIVIDADES!$H56&lt;=AA$4,ACTIVIDADES!$I56&gt;=AA$4),"·","")))</f>
        <v/>
      </c>
      <c r="AC56" s="8" t="str">
        <f>IF(OR(ACTIVIDADES!$I56="",AB$4=""),"",IF(ACTIVIDADES!$I56=AB$4,"●",IF(AND(ACTIVIDADES!$H56&lt;=AB$4,ACTIVIDADES!$I56&gt;=AB$4),"·","")))</f>
        <v/>
      </c>
      <c r="AD56" s="8" t="str">
        <f>IF(OR(ACTIVIDADES!$I56="",AC$4=""),"",IF(ACTIVIDADES!$I56=AC$4,"●",IF(AND(ACTIVIDADES!$H56&lt;=AC$4,ACTIVIDADES!$I56&gt;=AC$4),"·","")))</f>
        <v/>
      </c>
      <c r="AE56" s="8" t="str">
        <f>IF(OR(ACTIVIDADES!$I56="",AD$4=""),"",IF(ACTIVIDADES!$I56=AD$4,"●",IF(AND(ACTIVIDADES!$H56&lt;=AD$4,ACTIVIDADES!$I56&gt;=AD$4),"·","")))</f>
        <v/>
      </c>
      <c r="AF56" s="8" t="str">
        <f>IF(OR(ACTIVIDADES!$I56="",AE$4=""),"",IF(ACTIVIDADES!$I56=AE$4,"●",IF(AND(ACTIVIDADES!$H56&lt;=AE$4,ACTIVIDADES!$I56&gt;=AE$4),"·","")))</f>
        <v/>
      </c>
      <c r="AG56" s="8" t="str">
        <f>IF(OR(ACTIVIDADES!$I56="",AF$4=""),"",IF(ACTIVIDADES!$I56=AF$4,"●",IF(AND(ACTIVIDADES!$H56&lt;=AF$4,ACTIVIDADES!$I56&gt;=AF$4),"·","")))</f>
        <v/>
      </c>
      <c r="AH56" s="8" t="str">
        <f>IF(OR(ACTIVIDADES!$I56="",AG$4=""),"",IF(ACTIVIDADES!$I56=AG$4,"●",IF(AND(ACTIVIDADES!$H56&lt;=AG$4,ACTIVIDADES!$I56&gt;=AG$4),"·","")))</f>
        <v/>
      </c>
      <c r="AI56" s="8" t="str">
        <f>IF(OR(ACTIVIDADES!$I56="",AH$4=""),"",IF(ACTIVIDADES!$I56=AH$4,"●",IF(AND(ACTIVIDADES!$H56&lt;=AH$4,ACTIVIDADES!$I56&gt;=AH$4),"·","")))</f>
        <v/>
      </c>
      <c r="AJ56" t="str">
        <f>IF(ACTIVIDADES!K56="","",ACTIVIDADES!K56)</f>
        <v>Cerrado</v>
      </c>
    </row>
    <row r="57" spans="1:36">
      <c r="A57" t="str">
        <f>IF(ACTIVIDADES!A57="","",ACTIVIDADES!A57)</f>
        <v>08.04</v>
      </c>
      <c r="B57" t="str">
        <f>IF(ACTIVIDADES!B57="","",ACTIVIDADES!B57)</f>
        <v>MSP</v>
      </c>
      <c r="C57" t="str">
        <f>IF(ACTIVIDADES!C57="","",ACTIVIDADES!C57)</f>
        <v>Corte</v>
      </c>
      <c r="D57" t="str">
        <f>IF(ACTIVIDADES!D57="","",ACTIVIDADES!D57)</f>
        <v>Preparar y entregar corte del día 10</v>
      </c>
      <c r="E57" s="8" t="str">
        <f>IF(OR(ACTIVIDADES!$I57="",D$4=""),"",IF(ACTIVIDADES!$I57=D$4,"●",IF(AND(ACTIVIDADES!$H57&lt;=D$4,ACTIVIDADES!$I57&gt;=D$4),"·","")))</f>
        <v/>
      </c>
      <c r="F57" s="8" t="str">
        <f>IF(OR(ACTIVIDADES!$I57="",E$4=""),"",IF(ACTIVIDADES!$I57=E$4,"●",IF(AND(ACTIVIDADES!$H57&lt;=E$4,ACTIVIDADES!$I57&gt;=E$4),"·","")))</f>
        <v/>
      </c>
      <c r="G57" s="8" t="str">
        <f>IF(OR(ACTIVIDADES!$I57="",F$4=""),"",IF(ACTIVIDADES!$I57=F$4,"●",IF(AND(ACTIVIDADES!$H57&lt;=F$4,ACTIVIDADES!$I57&gt;=F$4),"·","")))</f>
        <v/>
      </c>
      <c r="H57" s="8" t="str">
        <f>IF(OR(ACTIVIDADES!$I57="",G$4=""),"",IF(ACTIVIDADES!$I57=G$4,"●",IF(AND(ACTIVIDADES!$H57&lt;=G$4,ACTIVIDADES!$I57&gt;=G$4),"·","")))</f>
        <v/>
      </c>
      <c r="I57" s="8" t="str">
        <f>IF(OR(ACTIVIDADES!$I57="",H$4=""),"",IF(ACTIVIDADES!$I57=H$4,"●",IF(AND(ACTIVIDADES!$H57&lt;=H$4,ACTIVIDADES!$I57&gt;=H$4),"·","")))</f>
        <v/>
      </c>
      <c r="J57" s="8" t="str">
        <f>IF(OR(ACTIVIDADES!$I57="",I$4=""),"",IF(ACTIVIDADES!$I57=I$4,"●",IF(AND(ACTIVIDADES!$H57&lt;=I$4,ACTIVIDADES!$I57&gt;=I$4),"·","")))</f>
        <v/>
      </c>
      <c r="K57" s="8" t="str">
        <f>IF(OR(ACTIVIDADES!$I57="",J$4=""),"",IF(ACTIVIDADES!$I57=J$4,"●",IF(AND(ACTIVIDADES!$H57&lt;=J$4,ACTIVIDADES!$I57&gt;=J$4),"·","")))</f>
        <v/>
      </c>
      <c r="L57" s="8" t="str">
        <f>IF(OR(ACTIVIDADES!$I57="",K$4=""),"",IF(ACTIVIDADES!$I57=K$4,"●",IF(AND(ACTIVIDADES!$H57&lt;=K$4,ACTIVIDADES!$I57&gt;=K$4),"·","")))</f>
        <v/>
      </c>
      <c r="M57" s="8" t="str">
        <f>IF(OR(ACTIVIDADES!$I57="",L$4=""),"",IF(ACTIVIDADES!$I57=L$4,"●",IF(AND(ACTIVIDADES!$H57&lt;=L$4,ACTIVIDADES!$I57&gt;=L$4),"·","")))</f>
        <v/>
      </c>
      <c r="N57" s="8" t="str">
        <f>IF(OR(ACTIVIDADES!$I57="",M$4=""),"",IF(ACTIVIDADES!$I57=M$4,"●",IF(AND(ACTIVIDADES!$H57&lt;=M$4,ACTIVIDADES!$I57&gt;=M$4),"·","")))</f>
        <v/>
      </c>
      <c r="O57" s="8" t="str">
        <f>IF(OR(ACTIVIDADES!$I57="",N$4=""),"",IF(ACTIVIDADES!$I57=N$4,"●",IF(AND(ACTIVIDADES!$H57&lt;=N$4,ACTIVIDADES!$I57&gt;=N$4),"·","")))</f>
        <v>●</v>
      </c>
      <c r="P57" s="8" t="str">
        <f>IF(OR(ACTIVIDADES!$I57="",O$4=""),"",IF(ACTIVIDADES!$I57=O$4,"●",IF(AND(ACTIVIDADES!$H57&lt;=O$4,ACTIVIDADES!$I57&gt;=O$4),"·","")))</f>
        <v/>
      </c>
      <c r="Q57" s="8" t="str">
        <f>IF(OR(ACTIVIDADES!$I57="",P$4=""),"",IF(ACTIVIDADES!$I57=P$4,"●",IF(AND(ACTIVIDADES!$H57&lt;=P$4,ACTIVIDADES!$I57&gt;=P$4),"·","")))</f>
        <v/>
      </c>
      <c r="R57" s="8" t="str">
        <f>IF(OR(ACTIVIDADES!$I57="",Q$4=""),"",IF(ACTIVIDADES!$I57=Q$4,"●",IF(AND(ACTIVIDADES!$H57&lt;=Q$4,ACTIVIDADES!$I57&gt;=Q$4),"·","")))</f>
        <v/>
      </c>
      <c r="S57" s="8" t="str">
        <f>IF(OR(ACTIVIDADES!$I57="",R$4=""),"",IF(ACTIVIDADES!$I57=R$4,"●",IF(AND(ACTIVIDADES!$H57&lt;=R$4,ACTIVIDADES!$I57&gt;=R$4),"·","")))</f>
        <v/>
      </c>
      <c r="T57" s="8" t="str">
        <f>IF(OR(ACTIVIDADES!$I57="",S$4=""),"",IF(ACTIVIDADES!$I57=S$4,"●",IF(AND(ACTIVIDADES!$H57&lt;=S$4,ACTIVIDADES!$I57&gt;=S$4),"·","")))</f>
        <v/>
      </c>
      <c r="U57" s="8" t="str">
        <f>IF(OR(ACTIVIDADES!$I57="",T$4=""),"",IF(ACTIVIDADES!$I57=T$4,"●",IF(AND(ACTIVIDADES!$H57&lt;=T$4,ACTIVIDADES!$I57&gt;=T$4),"·","")))</f>
        <v/>
      </c>
      <c r="V57" s="8" t="str">
        <f>IF(OR(ACTIVIDADES!$I57="",U$4=""),"",IF(ACTIVIDADES!$I57=U$4,"●",IF(AND(ACTIVIDADES!$H57&lt;=U$4,ACTIVIDADES!$I57&gt;=U$4),"·","")))</f>
        <v/>
      </c>
      <c r="W57" s="8" t="str">
        <f>IF(OR(ACTIVIDADES!$I57="",V$4=""),"",IF(ACTIVIDADES!$I57=V$4,"●",IF(AND(ACTIVIDADES!$H57&lt;=V$4,ACTIVIDADES!$I57&gt;=V$4),"·","")))</f>
        <v/>
      </c>
      <c r="X57" s="8" t="str">
        <f>IF(OR(ACTIVIDADES!$I57="",W$4=""),"",IF(ACTIVIDADES!$I57=W$4,"●",IF(AND(ACTIVIDADES!$H57&lt;=W$4,ACTIVIDADES!$I57&gt;=W$4),"·","")))</f>
        <v/>
      </c>
      <c r="Y57" s="8" t="str">
        <f>IF(OR(ACTIVIDADES!$I57="",X$4=""),"",IF(ACTIVIDADES!$I57=X$4,"●",IF(AND(ACTIVIDADES!$H57&lt;=X$4,ACTIVIDADES!$I57&gt;=X$4),"·","")))</f>
        <v/>
      </c>
      <c r="Z57" s="8" t="str">
        <f>IF(OR(ACTIVIDADES!$I57="",Y$4=""),"",IF(ACTIVIDADES!$I57=Y$4,"●",IF(AND(ACTIVIDADES!$H57&lt;=Y$4,ACTIVIDADES!$I57&gt;=Y$4),"·","")))</f>
        <v/>
      </c>
      <c r="AA57" s="8" t="str">
        <f>IF(OR(ACTIVIDADES!$I57="",Z$4=""),"",IF(ACTIVIDADES!$I57=Z$4,"●",IF(AND(ACTIVIDADES!$H57&lt;=Z$4,ACTIVIDADES!$I57&gt;=Z$4),"·","")))</f>
        <v/>
      </c>
      <c r="AB57" s="8" t="str">
        <f>IF(OR(ACTIVIDADES!$I57="",AA$4=""),"",IF(ACTIVIDADES!$I57=AA$4,"●",IF(AND(ACTIVIDADES!$H57&lt;=AA$4,ACTIVIDADES!$I57&gt;=AA$4),"·","")))</f>
        <v/>
      </c>
      <c r="AC57" s="8" t="str">
        <f>IF(OR(ACTIVIDADES!$I57="",AB$4=""),"",IF(ACTIVIDADES!$I57=AB$4,"●",IF(AND(ACTIVIDADES!$H57&lt;=AB$4,ACTIVIDADES!$I57&gt;=AB$4),"·","")))</f>
        <v/>
      </c>
      <c r="AD57" s="8" t="str">
        <f>IF(OR(ACTIVIDADES!$I57="",AC$4=""),"",IF(ACTIVIDADES!$I57=AC$4,"●",IF(AND(ACTIVIDADES!$H57&lt;=AC$4,ACTIVIDADES!$I57&gt;=AC$4),"·","")))</f>
        <v/>
      </c>
      <c r="AE57" s="8" t="str">
        <f>IF(OR(ACTIVIDADES!$I57="",AD$4=""),"",IF(ACTIVIDADES!$I57=AD$4,"●",IF(AND(ACTIVIDADES!$H57&lt;=AD$4,ACTIVIDADES!$I57&gt;=AD$4),"·","")))</f>
        <v/>
      </c>
      <c r="AF57" s="8" t="str">
        <f>IF(OR(ACTIVIDADES!$I57="",AE$4=""),"",IF(ACTIVIDADES!$I57=AE$4,"●",IF(AND(ACTIVIDADES!$H57&lt;=AE$4,ACTIVIDADES!$I57&gt;=AE$4),"·","")))</f>
        <v/>
      </c>
      <c r="AG57" s="8" t="str">
        <f>IF(OR(ACTIVIDADES!$I57="",AF$4=""),"",IF(ACTIVIDADES!$I57=AF$4,"●",IF(AND(ACTIVIDADES!$H57&lt;=AF$4,ACTIVIDADES!$I57&gt;=AF$4),"·","")))</f>
        <v/>
      </c>
      <c r="AH57" s="8" t="str">
        <f>IF(OR(ACTIVIDADES!$I57="",AG$4=""),"",IF(ACTIVIDADES!$I57=AG$4,"●",IF(AND(ACTIVIDADES!$H57&lt;=AG$4,ACTIVIDADES!$I57&gt;=AG$4),"·","")))</f>
        <v/>
      </c>
      <c r="AI57" s="8" t="str">
        <f>IF(OR(ACTIVIDADES!$I57="",AH$4=""),"",IF(ACTIVIDADES!$I57=AH$4,"●",IF(AND(ACTIVIDADES!$H57&lt;=AH$4,ACTIVIDADES!$I57&gt;=AH$4),"·","")))</f>
        <v/>
      </c>
      <c r="AJ57" t="str">
        <f>IF(ACTIVIDADES!K57="","",ACTIVIDADES!K57)</f>
        <v>Cerrado</v>
      </c>
    </row>
    <row r="58" spans="1:36">
      <c r="A58" t="str">
        <f>IF(ACTIVIDADES!A58="","",ACTIVIDADES!A58)</f>
        <v>08.05</v>
      </c>
      <c r="B58" t="str">
        <f>IF(ACTIVIDADES!B58="","",ACTIVIDADES!B58)</f>
        <v>MSP</v>
      </c>
      <c r="C58" t="str">
        <f>IF(ACTIVIDADES!C58="","",ACTIVIDADES!C58)</f>
        <v>Corte</v>
      </c>
      <c r="D58" t="str">
        <f>IF(ACTIVIDADES!D58="","",ACTIVIDADES!D58)</f>
        <v>Preparar y entregar corte del día 20</v>
      </c>
      <c r="E58" s="8" t="str">
        <f>IF(OR(ACTIVIDADES!$I58="",D$4=""),"",IF(ACTIVIDADES!$I58=D$4,"●",IF(AND(ACTIVIDADES!$H58&lt;=D$4,ACTIVIDADES!$I58&gt;=D$4),"·","")))</f>
        <v/>
      </c>
      <c r="F58" s="8" t="str">
        <f>IF(OR(ACTIVIDADES!$I58="",E$4=""),"",IF(ACTIVIDADES!$I58=E$4,"●",IF(AND(ACTIVIDADES!$H58&lt;=E$4,ACTIVIDADES!$I58&gt;=E$4),"·","")))</f>
        <v/>
      </c>
      <c r="G58" s="8" t="str">
        <f>IF(OR(ACTIVIDADES!$I58="",F$4=""),"",IF(ACTIVIDADES!$I58=F$4,"●",IF(AND(ACTIVIDADES!$H58&lt;=F$4,ACTIVIDADES!$I58&gt;=F$4),"·","")))</f>
        <v/>
      </c>
      <c r="H58" s="8" t="str">
        <f>IF(OR(ACTIVIDADES!$I58="",G$4=""),"",IF(ACTIVIDADES!$I58=G$4,"●",IF(AND(ACTIVIDADES!$H58&lt;=G$4,ACTIVIDADES!$I58&gt;=G$4),"·","")))</f>
        <v/>
      </c>
      <c r="I58" s="8" t="str">
        <f>IF(OR(ACTIVIDADES!$I58="",H$4=""),"",IF(ACTIVIDADES!$I58=H$4,"●",IF(AND(ACTIVIDADES!$H58&lt;=H$4,ACTIVIDADES!$I58&gt;=H$4),"·","")))</f>
        <v/>
      </c>
      <c r="J58" s="8" t="str">
        <f>IF(OR(ACTIVIDADES!$I58="",I$4=""),"",IF(ACTIVIDADES!$I58=I$4,"●",IF(AND(ACTIVIDADES!$H58&lt;=I$4,ACTIVIDADES!$I58&gt;=I$4),"·","")))</f>
        <v/>
      </c>
      <c r="K58" s="8" t="str">
        <f>IF(OR(ACTIVIDADES!$I58="",J$4=""),"",IF(ACTIVIDADES!$I58=J$4,"●",IF(AND(ACTIVIDADES!$H58&lt;=J$4,ACTIVIDADES!$I58&gt;=J$4),"·","")))</f>
        <v/>
      </c>
      <c r="L58" s="8" t="str">
        <f>IF(OR(ACTIVIDADES!$I58="",K$4=""),"",IF(ACTIVIDADES!$I58=K$4,"●",IF(AND(ACTIVIDADES!$H58&lt;=K$4,ACTIVIDADES!$I58&gt;=K$4),"·","")))</f>
        <v/>
      </c>
      <c r="M58" s="8" t="str">
        <f>IF(OR(ACTIVIDADES!$I58="",L$4=""),"",IF(ACTIVIDADES!$I58=L$4,"●",IF(AND(ACTIVIDADES!$H58&lt;=L$4,ACTIVIDADES!$I58&gt;=L$4),"·","")))</f>
        <v/>
      </c>
      <c r="N58" s="8" t="str">
        <f>IF(OR(ACTIVIDADES!$I58="",M$4=""),"",IF(ACTIVIDADES!$I58=M$4,"●",IF(AND(ACTIVIDADES!$H58&lt;=M$4,ACTIVIDADES!$I58&gt;=M$4),"·","")))</f>
        <v/>
      </c>
      <c r="O58" s="8" t="str">
        <f>IF(OR(ACTIVIDADES!$I58="",N$4=""),"",IF(ACTIVIDADES!$I58=N$4,"●",IF(AND(ACTIVIDADES!$H58&lt;=N$4,ACTIVIDADES!$I58&gt;=N$4),"·","")))</f>
        <v/>
      </c>
      <c r="P58" s="8" t="str">
        <f>IF(OR(ACTIVIDADES!$I58="",O$4=""),"",IF(ACTIVIDADES!$I58=O$4,"●",IF(AND(ACTIVIDADES!$H58&lt;=O$4,ACTIVIDADES!$I58&gt;=O$4),"·","")))</f>
        <v/>
      </c>
      <c r="Q58" s="8" t="str">
        <f>IF(OR(ACTIVIDADES!$I58="",P$4=""),"",IF(ACTIVIDADES!$I58=P$4,"●",IF(AND(ACTIVIDADES!$H58&lt;=P$4,ACTIVIDADES!$I58&gt;=P$4),"·","")))</f>
        <v/>
      </c>
      <c r="R58" s="8" t="str">
        <f>IF(OR(ACTIVIDADES!$I58="",Q$4=""),"",IF(ACTIVIDADES!$I58=Q$4,"●",IF(AND(ACTIVIDADES!$H58&lt;=Q$4,ACTIVIDADES!$I58&gt;=Q$4),"·","")))</f>
        <v/>
      </c>
      <c r="S58" s="8" t="str">
        <f>IF(OR(ACTIVIDADES!$I58="",R$4=""),"",IF(ACTIVIDADES!$I58=R$4,"●",IF(AND(ACTIVIDADES!$H58&lt;=R$4,ACTIVIDADES!$I58&gt;=R$4),"·","")))</f>
        <v/>
      </c>
      <c r="T58" s="8" t="str">
        <f>IF(OR(ACTIVIDADES!$I58="",S$4=""),"",IF(ACTIVIDADES!$I58=S$4,"●",IF(AND(ACTIVIDADES!$H58&lt;=S$4,ACTIVIDADES!$I58&gt;=S$4),"·","")))</f>
        <v/>
      </c>
      <c r="U58" s="8" t="str">
        <f>IF(OR(ACTIVIDADES!$I58="",T$4=""),"",IF(ACTIVIDADES!$I58=T$4,"●",IF(AND(ACTIVIDADES!$H58&lt;=T$4,ACTIVIDADES!$I58&gt;=T$4),"·","")))</f>
        <v/>
      </c>
      <c r="V58" s="8" t="str">
        <f>IF(OR(ACTIVIDADES!$I58="",U$4=""),"",IF(ACTIVIDADES!$I58=U$4,"●",IF(AND(ACTIVIDADES!$H58&lt;=U$4,ACTIVIDADES!$I58&gt;=U$4),"·","")))</f>
        <v/>
      </c>
      <c r="W58" s="8" t="str">
        <f>IF(OR(ACTIVIDADES!$I58="",V$4=""),"",IF(ACTIVIDADES!$I58=V$4,"●",IF(AND(ACTIVIDADES!$H58&lt;=V$4,ACTIVIDADES!$I58&gt;=V$4),"·","")))</f>
        <v/>
      </c>
      <c r="X58" s="8" t="str">
        <f>IF(OR(ACTIVIDADES!$I58="",W$4=""),"",IF(ACTIVIDADES!$I58=W$4,"●",IF(AND(ACTIVIDADES!$H58&lt;=W$4,ACTIVIDADES!$I58&gt;=W$4),"·","")))</f>
        <v/>
      </c>
      <c r="Y58" s="8" t="str">
        <f>IF(OR(ACTIVIDADES!$I58="",X$4=""),"",IF(ACTIVIDADES!$I58=X$4,"●",IF(AND(ACTIVIDADES!$H58&lt;=X$4,ACTIVIDADES!$I58&gt;=X$4),"·","")))</f>
        <v>●</v>
      </c>
      <c r="Z58" s="8" t="str">
        <f>IF(OR(ACTIVIDADES!$I58="",Y$4=""),"",IF(ACTIVIDADES!$I58=Y$4,"●",IF(AND(ACTIVIDADES!$H58&lt;=Y$4,ACTIVIDADES!$I58&gt;=Y$4),"·","")))</f>
        <v/>
      </c>
      <c r="AA58" s="8" t="str">
        <f>IF(OR(ACTIVIDADES!$I58="",Z$4=""),"",IF(ACTIVIDADES!$I58=Z$4,"●",IF(AND(ACTIVIDADES!$H58&lt;=Z$4,ACTIVIDADES!$I58&gt;=Z$4),"·","")))</f>
        <v/>
      </c>
      <c r="AB58" s="8" t="str">
        <f>IF(OR(ACTIVIDADES!$I58="",AA$4=""),"",IF(ACTIVIDADES!$I58=AA$4,"●",IF(AND(ACTIVIDADES!$H58&lt;=AA$4,ACTIVIDADES!$I58&gt;=AA$4),"·","")))</f>
        <v/>
      </c>
      <c r="AC58" s="8" t="str">
        <f>IF(OR(ACTIVIDADES!$I58="",AB$4=""),"",IF(ACTIVIDADES!$I58=AB$4,"●",IF(AND(ACTIVIDADES!$H58&lt;=AB$4,ACTIVIDADES!$I58&gt;=AB$4),"·","")))</f>
        <v/>
      </c>
      <c r="AD58" s="8" t="str">
        <f>IF(OR(ACTIVIDADES!$I58="",AC$4=""),"",IF(ACTIVIDADES!$I58=AC$4,"●",IF(AND(ACTIVIDADES!$H58&lt;=AC$4,ACTIVIDADES!$I58&gt;=AC$4),"·","")))</f>
        <v/>
      </c>
      <c r="AE58" s="8" t="str">
        <f>IF(OR(ACTIVIDADES!$I58="",AD$4=""),"",IF(ACTIVIDADES!$I58=AD$4,"●",IF(AND(ACTIVIDADES!$H58&lt;=AD$4,ACTIVIDADES!$I58&gt;=AD$4),"·","")))</f>
        <v/>
      </c>
      <c r="AF58" s="8" t="str">
        <f>IF(OR(ACTIVIDADES!$I58="",AE$4=""),"",IF(ACTIVIDADES!$I58=AE$4,"●",IF(AND(ACTIVIDADES!$H58&lt;=AE$4,ACTIVIDADES!$I58&gt;=AE$4),"·","")))</f>
        <v/>
      </c>
      <c r="AG58" s="8" t="str">
        <f>IF(OR(ACTIVIDADES!$I58="",AF$4=""),"",IF(ACTIVIDADES!$I58=AF$4,"●",IF(AND(ACTIVIDADES!$H58&lt;=AF$4,ACTIVIDADES!$I58&gt;=AF$4),"·","")))</f>
        <v/>
      </c>
      <c r="AH58" s="8" t="str">
        <f>IF(OR(ACTIVIDADES!$I58="",AG$4=""),"",IF(ACTIVIDADES!$I58=AG$4,"●",IF(AND(ACTIVIDADES!$H58&lt;=AG$4,ACTIVIDADES!$I58&gt;=AG$4),"·","")))</f>
        <v/>
      </c>
      <c r="AI58" s="8" t="str">
        <f>IF(OR(ACTIVIDADES!$I58="",AH$4=""),"",IF(ACTIVIDADES!$I58=AH$4,"●",IF(AND(ACTIVIDADES!$H58&lt;=AH$4,ACTIVIDADES!$I58&gt;=AH$4),"·","")))</f>
        <v/>
      </c>
      <c r="AJ58" t="str">
        <f>IF(ACTIVIDADES!K58="","",ACTIVIDADES!K58)</f>
        <v>Pendiente</v>
      </c>
    </row>
    <row r="59" spans="1:36">
      <c r="A59" t="str">
        <f>IF(ACTIVIDADES!A59="","",ACTIVIDADES!A59)</f>
        <v>08.06</v>
      </c>
      <c r="B59" t="str">
        <f>IF(ACTIVIDADES!B59="","",ACTIVIDADES!B59)</f>
        <v>MSP</v>
      </c>
      <c r="C59" t="str">
        <f>IF(ACTIVIDADES!C59="","",ACTIVIDADES!C59)</f>
        <v>Corte</v>
      </c>
      <c r="D59" t="str">
        <f>IF(ACTIVIDADES!D59="","",ACTIVIDADES!D59)</f>
        <v>Preparar y entregar corte del día 26</v>
      </c>
      <c r="E59" s="8" t="str">
        <f>IF(OR(ACTIVIDADES!$I59="",D$4=""),"",IF(ACTIVIDADES!$I59=D$4,"●",IF(AND(ACTIVIDADES!$H59&lt;=D$4,ACTIVIDADES!$I59&gt;=D$4),"·","")))</f>
        <v/>
      </c>
      <c r="F59" s="8" t="str">
        <f>IF(OR(ACTIVIDADES!$I59="",E$4=""),"",IF(ACTIVIDADES!$I59=E$4,"●",IF(AND(ACTIVIDADES!$H59&lt;=E$4,ACTIVIDADES!$I59&gt;=E$4),"·","")))</f>
        <v/>
      </c>
      <c r="G59" s="8" t="str">
        <f>IF(OR(ACTIVIDADES!$I59="",F$4=""),"",IF(ACTIVIDADES!$I59=F$4,"●",IF(AND(ACTIVIDADES!$H59&lt;=F$4,ACTIVIDADES!$I59&gt;=F$4),"·","")))</f>
        <v/>
      </c>
      <c r="H59" s="8" t="str">
        <f>IF(OR(ACTIVIDADES!$I59="",G$4=""),"",IF(ACTIVIDADES!$I59=G$4,"●",IF(AND(ACTIVIDADES!$H59&lt;=G$4,ACTIVIDADES!$I59&gt;=G$4),"·","")))</f>
        <v/>
      </c>
      <c r="I59" s="8" t="str">
        <f>IF(OR(ACTIVIDADES!$I59="",H$4=""),"",IF(ACTIVIDADES!$I59=H$4,"●",IF(AND(ACTIVIDADES!$H59&lt;=H$4,ACTIVIDADES!$I59&gt;=H$4),"·","")))</f>
        <v/>
      </c>
      <c r="J59" s="8" t="str">
        <f>IF(OR(ACTIVIDADES!$I59="",I$4=""),"",IF(ACTIVIDADES!$I59=I$4,"●",IF(AND(ACTIVIDADES!$H59&lt;=I$4,ACTIVIDADES!$I59&gt;=I$4),"·","")))</f>
        <v/>
      </c>
      <c r="K59" s="8" t="str">
        <f>IF(OR(ACTIVIDADES!$I59="",J$4=""),"",IF(ACTIVIDADES!$I59=J$4,"●",IF(AND(ACTIVIDADES!$H59&lt;=J$4,ACTIVIDADES!$I59&gt;=J$4),"·","")))</f>
        <v/>
      </c>
      <c r="L59" s="8" t="str">
        <f>IF(OR(ACTIVIDADES!$I59="",K$4=""),"",IF(ACTIVIDADES!$I59=K$4,"●",IF(AND(ACTIVIDADES!$H59&lt;=K$4,ACTIVIDADES!$I59&gt;=K$4),"·","")))</f>
        <v/>
      </c>
      <c r="M59" s="8" t="str">
        <f>IF(OR(ACTIVIDADES!$I59="",L$4=""),"",IF(ACTIVIDADES!$I59=L$4,"●",IF(AND(ACTIVIDADES!$H59&lt;=L$4,ACTIVIDADES!$I59&gt;=L$4),"·","")))</f>
        <v/>
      </c>
      <c r="N59" s="8" t="str">
        <f>IF(OR(ACTIVIDADES!$I59="",M$4=""),"",IF(ACTIVIDADES!$I59=M$4,"●",IF(AND(ACTIVIDADES!$H59&lt;=M$4,ACTIVIDADES!$I59&gt;=M$4),"·","")))</f>
        <v/>
      </c>
      <c r="O59" s="8" t="str">
        <f>IF(OR(ACTIVIDADES!$I59="",N$4=""),"",IF(ACTIVIDADES!$I59=N$4,"●",IF(AND(ACTIVIDADES!$H59&lt;=N$4,ACTIVIDADES!$I59&gt;=N$4),"·","")))</f>
        <v/>
      </c>
      <c r="P59" s="8" t="str">
        <f>IF(OR(ACTIVIDADES!$I59="",O$4=""),"",IF(ACTIVIDADES!$I59=O$4,"●",IF(AND(ACTIVIDADES!$H59&lt;=O$4,ACTIVIDADES!$I59&gt;=O$4),"·","")))</f>
        <v/>
      </c>
      <c r="Q59" s="8" t="str">
        <f>IF(OR(ACTIVIDADES!$I59="",P$4=""),"",IF(ACTIVIDADES!$I59=P$4,"●",IF(AND(ACTIVIDADES!$H59&lt;=P$4,ACTIVIDADES!$I59&gt;=P$4),"·","")))</f>
        <v/>
      </c>
      <c r="R59" s="8" t="str">
        <f>IF(OR(ACTIVIDADES!$I59="",Q$4=""),"",IF(ACTIVIDADES!$I59=Q$4,"●",IF(AND(ACTIVIDADES!$H59&lt;=Q$4,ACTIVIDADES!$I59&gt;=Q$4),"·","")))</f>
        <v/>
      </c>
      <c r="S59" s="8" t="str">
        <f>IF(OR(ACTIVIDADES!$I59="",R$4=""),"",IF(ACTIVIDADES!$I59=R$4,"●",IF(AND(ACTIVIDADES!$H59&lt;=R$4,ACTIVIDADES!$I59&gt;=R$4),"·","")))</f>
        <v/>
      </c>
      <c r="T59" s="8" t="str">
        <f>IF(OR(ACTIVIDADES!$I59="",S$4=""),"",IF(ACTIVIDADES!$I59=S$4,"●",IF(AND(ACTIVIDADES!$H59&lt;=S$4,ACTIVIDADES!$I59&gt;=S$4),"·","")))</f>
        <v/>
      </c>
      <c r="U59" s="8" t="str">
        <f>IF(OR(ACTIVIDADES!$I59="",T$4=""),"",IF(ACTIVIDADES!$I59=T$4,"●",IF(AND(ACTIVIDADES!$H59&lt;=T$4,ACTIVIDADES!$I59&gt;=T$4),"·","")))</f>
        <v/>
      </c>
      <c r="V59" s="8" t="str">
        <f>IF(OR(ACTIVIDADES!$I59="",U$4=""),"",IF(ACTIVIDADES!$I59=U$4,"●",IF(AND(ACTIVIDADES!$H59&lt;=U$4,ACTIVIDADES!$I59&gt;=U$4),"·","")))</f>
        <v/>
      </c>
      <c r="W59" s="8" t="str">
        <f>IF(OR(ACTIVIDADES!$I59="",V$4=""),"",IF(ACTIVIDADES!$I59=V$4,"●",IF(AND(ACTIVIDADES!$H59&lt;=V$4,ACTIVIDADES!$I59&gt;=V$4),"·","")))</f>
        <v/>
      </c>
      <c r="X59" s="8" t="str">
        <f>IF(OR(ACTIVIDADES!$I59="",W$4=""),"",IF(ACTIVIDADES!$I59=W$4,"●",IF(AND(ACTIVIDADES!$H59&lt;=W$4,ACTIVIDADES!$I59&gt;=W$4),"·","")))</f>
        <v/>
      </c>
      <c r="Y59" s="8" t="str">
        <f>IF(OR(ACTIVIDADES!$I59="",X$4=""),"",IF(ACTIVIDADES!$I59=X$4,"●",IF(AND(ACTIVIDADES!$H59&lt;=X$4,ACTIVIDADES!$I59&gt;=X$4),"·","")))</f>
        <v/>
      </c>
      <c r="Z59" s="8" t="str">
        <f>IF(OR(ACTIVIDADES!$I59="",Y$4=""),"",IF(ACTIVIDADES!$I59=Y$4,"●",IF(AND(ACTIVIDADES!$H59&lt;=Y$4,ACTIVIDADES!$I59&gt;=Y$4),"·","")))</f>
        <v/>
      </c>
      <c r="AA59" s="8" t="str">
        <f>IF(OR(ACTIVIDADES!$I59="",Z$4=""),"",IF(ACTIVIDADES!$I59=Z$4,"●",IF(AND(ACTIVIDADES!$H59&lt;=Z$4,ACTIVIDADES!$I59&gt;=Z$4),"·","")))</f>
        <v/>
      </c>
      <c r="AB59" s="8" t="str">
        <f>IF(OR(ACTIVIDADES!$I59="",AA$4=""),"",IF(ACTIVIDADES!$I59=AA$4,"●",IF(AND(ACTIVIDADES!$H59&lt;=AA$4,ACTIVIDADES!$I59&gt;=AA$4),"·","")))</f>
        <v/>
      </c>
      <c r="AC59" s="8" t="str">
        <f>IF(OR(ACTIVIDADES!$I59="",AB$4=""),"",IF(ACTIVIDADES!$I59=AB$4,"●",IF(AND(ACTIVIDADES!$H59&lt;=AB$4,ACTIVIDADES!$I59&gt;=AB$4),"·","")))</f>
        <v/>
      </c>
      <c r="AD59" s="8" t="str">
        <f>IF(OR(ACTIVIDADES!$I59="",AC$4=""),"",IF(ACTIVIDADES!$I59=AC$4,"●",IF(AND(ACTIVIDADES!$H59&lt;=AC$4,ACTIVIDADES!$I59&gt;=AC$4),"·","")))</f>
        <v/>
      </c>
      <c r="AE59" s="8" t="str">
        <f>IF(OR(ACTIVIDADES!$I59="",AD$4=""),"",IF(ACTIVIDADES!$I59=AD$4,"●",IF(AND(ACTIVIDADES!$H59&lt;=AD$4,ACTIVIDADES!$I59&gt;=AD$4),"·","")))</f>
        <v>●</v>
      </c>
      <c r="AF59" s="8" t="str">
        <f>IF(OR(ACTIVIDADES!$I59="",AE$4=""),"",IF(ACTIVIDADES!$I59=AE$4,"●",IF(AND(ACTIVIDADES!$H59&lt;=AE$4,ACTIVIDADES!$I59&gt;=AE$4),"·","")))</f>
        <v/>
      </c>
      <c r="AG59" s="8" t="str">
        <f>IF(OR(ACTIVIDADES!$I59="",AF$4=""),"",IF(ACTIVIDADES!$I59=AF$4,"●",IF(AND(ACTIVIDADES!$H59&lt;=AF$4,ACTIVIDADES!$I59&gt;=AF$4),"·","")))</f>
        <v/>
      </c>
      <c r="AH59" s="8" t="str">
        <f>IF(OR(ACTIVIDADES!$I59="",AG$4=""),"",IF(ACTIVIDADES!$I59=AG$4,"●",IF(AND(ACTIVIDADES!$H59&lt;=AG$4,ACTIVIDADES!$I59&gt;=AG$4),"·","")))</f>
        <v/>
      </c>
      <c r="AI59" s="8" t="str">
        <f>IF(OR(ACTIVIDADES!$I59="",AH$4=""),"",IF(ACTIVIDADES!$I59=AH$4,"●",IF(AND(ACTIVIDADES!$H59&lt;=AH$4,ACTIVIDADES!$I59&gt;=AH$4),"·","")))</f>
        <v/>
      </c>
      <c r="AJ59" t="str">
        <f>IF(ACTIVIDADES!K59="","",ACTIVIDADES!K59)</f>
        <v>Pendiente</v>
      </c>
    </row>
    <row r="60" spans="1:36">
      <c r="A60" t="str">
        <f>IF(ACTIVIDADES!A60="","",ACTIVIDADES!A60)</f>
        <v>08.07</v>
      </c>
      <c r="B60" t="str">
        <f>IF(ACTIVIDADES!B60="","",ACTIVIDADES!B60)</f>
        <v>MSP</v>
      </c>
      <c r="C60" t="str">
        <f>IF(ACTIVIDADES!C60="","",ACTIVIDADES!C60)</f>
        <v>Corte</v>
      </c>
      <c r="D60" t="str">
        <f>IF(ACTIVIDADES!D60="","",ACTIVIDADES!D60)</f>
        <v>Preparar y entregar corte del día 30</v>
      </c>
      <c r="E60" s="8" t="str">
        <f>IF(OR(ACTIVIDADES!$I60="",D$4=""),"",IF(ACTIVIDADES!$I60=D$4,"●",IF(AND(ACTIVIDADES!$H60&lt;=D$4,ACTIVIDADES!$I60&gt;=D$4),"·","")))</f>
        <v/>
      </c>
      <c r="F60" s="8" t="str">
        <f>IF(OR(ACTIVIDADES!$I60="",E$4=""),"",IF(ACTIVIDADES!$I60=E$4,"●",IF(AND(ACTIVIDADES!$H60&lt;=E$4,ACTIVIDADES!$I60&gt;=E$4),"·","")))</f>
        <v/>
      </c>
      <c r="G60" s="8" t="str">
        <f>IF(OR(ACTIVIDADES!$I60="",F$4=""),"",IF(ACTIVIDADES!$I60=F$4,"●",IF(AND(ACTIVIDADES!$H60&lt;=F$4,ACTIVIDADES!$I60&gt;=F$4),"·","")))</f>
        <v/>
      </c>
      <c r="H60" s="8" t="str">
        <f>IF(OR(ACTIVIDADES!$I60="",G$4=""),"",IF(ACTIVIDADES!$I60=G$4,"●",IF(AND(ACTIVIDADES!$H60&lt;=G$4,ACTIVIDADES!$I60&gt;=G$4),"·","")))</f>
        <v/>
      </c>
      <c r="I60" s="8" t="str">
        <f>IF(OR(ACTIVIDADES!$I60="",H$4=""),"",IF(ACTIVIDADES!$I60=H$4,"●",IF(AND(ACTIVIDADES!$H60&lt;=H$4,ACTIVIDADES!$I60&gt;=H$4),"·","")))</f>
        <v/>
      </c>
      <c r="J60" s="8" t="str">
        <f>IF(OR(ACTIVIDADES!$I60="",I$4=""),"",IF(ACTIVIDADES!$I60=I$4,"●",IF(AND(ACTIVIDADES!$H60&lt;=I$4,ACTIVIDADES!$I60&gt;=I$4),"·","")))</f>
        <v/>
      </c>
      <c r="K60" s="8" t="str">
        <f>IF(OR(ACTIVIDADES!$I60="",J$4=""),"",IF(ACTIVIDADES!$I60=J$4,"●",IF(AND(ACTIVIDADES!$H60&lt;=J$4,ACTIVIDADES!$I60&gt;=J$4),"·","")))</f>
        <v/>
      </c>
      <c r="L60" s="8" t="str">
        <f>IF(OR(ACTIVIDADES!$I60="",K$4=""),"",IF(ACTIVIDADES!$I60=K$4,"●",IF(AND(ACTIVIDADES!$H60&lt;=K$4,ACTIVIDADES!$I60&gt;=K$4),"·","")))</f>
        <v/>
      </c>
      <c r="M60" s="8" t="str">
        <f>IF(OR(ACTIVIDADES!$I60="",L$4=""),"",IF(ACTIVIDADES!$I60=L$4,"●",IF(AND(ACTIVIDADES!$H60&lt;=L$4,ACTIVIDADES!$I60&gt;=L$4),"·","")))</f>
        <v/>
      </c>
      <c r="N60" s="8" t="str">
        <f>IF(OR(ACTIVIDADES!$I60="",M$4=""),"",IF(ACTIVIDADES!$I60=M$4,"●",IF(AND(ACTIVIDADES!$H60&lt;=M$4,ACTIVIDADES!$I60&gt;=M$4),"·","")))</f>
        <v/>
      </c>
      <c r="O60" s="8" t="str">
        <f>IF(OR(ACTIVIDADES!$I60="",N$4=""),"",IF(ACTIVIDADES!$I60=N$4,"●",IF(AND(ACTIVIDADES!$H60&lt;=N$4,ACTIVIDADES!$I60&gt;=N$4),"·","")))</f>
        <v/>
      </c>
      <c r="P60" s="8" t="str">
        <f>IF(OR(ACTIVIDADES!$I60="",O$4=""),"",IF(ACTIVIDADES!$I60=O$4,"●",IF(AND(ACTIVIDADES!$H60&lt;=O$4,ACTIVIDADES!$I60&gt;=O$4),"·","")))</f>
        <v/>
      </c>
      <c r="Q60" s="8" t="str">
        <f>IF(OR(ACTIVIDADES!$I60="",P$4=""),"",IF(ACTIVIDADES!$I60=P$4,"●",IF(AND(ACTIVIDADES!$H60&lt;=P$4,ACTIVIDADES!$I60&gt;=P$4),"·","")))</f>
        <v/>
      </c>
      <c r="R60" s="8" t="str">
        <f>IF(OR(ACTIVIDADES!$I60="",Q$4=""),"",IF(ACTIVIDADES!$I60=Q$4,"●",IF(AND(ACTIVIDADES!$H60&lt;=Q$4,ACTIVIDADES!$I60&gt;=Q$4),"·","")))</f>
        <v/>
      </c>
      <c r="S60" s="8" t="str">
        <f>IF(OR(ACTIVIDADES!$I60="",R$4=""),"",IF(ACTIVIDADES!$I60=R$4,"●",IF(AND(ACTIVIDADES!$H60&lt;=R$4,ACTIVIDADES!$I60&gt;=R$4),"·","")))</f>
        <v/>
      </c>
      <c r="T60" s="8" t="str">
        <f>IF(OR(ACTIVIDADES!$I60="",S$4=""),"",IF(ACTIVIDADES!$I60=S$4,"●",IF(AND(ACTIVIDADES!$H60&lt;=S$4,ACTIVIDADES!$I60&gt;=S$4),"·","")))</f>
        <v/>
      </c>
      <c r="U60" s="8" t="str">
        <f>IF(OR(ACTIVIDADES!$I60="",T$4=""),"",IF(ACTIVIDADES!$I60=T$4,"●",IF(AND(ACTIVIDADES!$H60&lt;=T$4,ACTIVIDADES!$I60&gt;=T$4),"·","")))</f>
        <v/>
      </c>
      <c r="V60" s="8" t="str">
        <f>IF(OR(ACTIVIDADES!$I60="",U$4=""),"",IF(ACTIVIDADES!$I60=U$4,"●",IF(AND(ACTIVIDADES!$H60&lt;=U$4,ACTIVIDADES!$I60&gt;=U$4),"·","")))</f>
        <v/>
      </c>
      <c r="W60" s="8" t="str">
        <f>IF(OR(ACTIVIDADES!$I60="",V$4=""),"",IF(ACTIVIDADES!$I60=V$4,"●",IF(AND(ACTIVIDADES!$H60&lt;=V$4,ACTIVIDADES!$I60&gt;=V$4),"·","")))</f>
        <v/>
      </c>
      <c r="X60" s="8" t="str">
        <f>IF(OR(ACTIVIDADES!$I60="",W$4=""),"",IF(ACTIVIDADES!$I60=W$4,"●",IF(AND(ACTIVIDADES!$H60&lt;=W$4,ACTIVIDADES!$I60&gt;=W$4),"·","")))</f>
        <v/>
      </c>
      <c r="Y60" s="8" t="str">
        <f>IF(OR(ACTIVIDADES!$I60="",X$4=""),"",IF(ACTIVIDADES!$I60=X$4,"●",IF(AND(ACTIVIDADES!$H60&lt;=X$4,ACTIVIDADES!$I60&gt;=X$4),"·","")))</f>
        <v/>
      </c>
      <c r="Z60" s="8" t="str">
        <f>IF(OR(ACTIVIDADES!$I60="",Y$4=""),"",IF(ACTIVIDADES!$I60=Y$4,"●",IF(AND(ACTIVIDADES!$H60&lt;=Y$4,ACTIVIDADES!$I60&gt;=Y$4),"·","")))</f>
        <v/>
      </c>
      <c r="AA60" s="8" t="str">
        <f>IF(OR(ACTIVIDADES!$I60="",Z$4=""),"",IF(ACTIVIDADES!$I60=Z$4,"●",IF(AND(ACTIVIDADES!$H60&lt;=Z$4,ACTIVIDADES!$I60&gt;=Z$4),"·","")))</f>
        <v/>
      </c>
      <c r="AB60" s="8" t="str">
        <f>IF(OR(ACTIVIDADES!$I60="",AA$4=""),"",IF(ACTIVIDADES!$I60=AA$4,"●",IF(AND(ACTIVIDADES!$H60&lt;=AA$4,ACTIVIDADES!$I60&gt;=AA$4),"·","")))</f>
        <v/>
      </c>
      <c r="AC60" s="8" t="str">
        <f>IF(OR(ACTIVIDADES!$I60="",AB$4=""),"",IF(ACTIVIDADES!$I60=AB$4,"●",IF(AND(ACTIVIDADES!$H60&lt;=AB$4,ACTIVIDADES!$I60&gt;=AB$4),"·","")))</f>
        <v/>
      </c>
      <c r="AD60" s="8" t="str">
        <f>IF(OR(ACTIVIDADES!$I60="",AC$4=""),"",IF(ACTIVIDADES!$I60=AC$4,"●",IF(AND(ACTIVIDADES!$H60&lt;=AC$4,ACTIVIDADES!$I60&gt;=AC$4),"·","")))</f>
        <v/>
      </c>
      <c r="AE60" s="8" t="str">
        <f>IF(OR(ACTIVIDADES!$I60="",AD$4=""),"",IF(ACTIVIDADES!$I60=AD$4,"●",IF(AND(ACTIVIDADES!$H60&lt;=AD$4,ACTIVIDADES!$I60&gt;=AD$4),"·","")))</f>
        <v/>
      </c>
      <c r="AF60" s="8" t="str">
        <f>IF(OR(ACTIVIDADES!$I60="",AE$4=""),"",IF(ACTIVIDADES!$I60=AE$4,"●",IF(AND(ACTIVIDADES!$H60&lt;=AE$4,ACTIVIDADES!$I60&gt;=AE$4),"·","")))</f>
        <v/>
      </c>
      <c r="AG60" s="8" t="str">
        <f>IF(OR(ACTIVIDADES!$I60="",AF$4=""),"",IF(ACTIVIDADES!$I60=AF$4,"●",IF(AND(ACTIVIDADES!$H60&lt;=AF$4,ACTIVIDADES!$I60&gt;=AF$4),"·","")))</f>
        <v/>
      </c>
      <c r="AH60" s="8" t="str">
        <f>IF(OR(ACTIVIDADES!$I60="",AG$4=""),"",IF(ACTIVIDADES!$I60=AG$4,"●",IF(AND(ACTIVIDADES!$H60&lt;=AG$4,ACTIVIDADES!$I60&gt;=AG$4),"·","")))</f>
        <v/>
      </c>
      <c r="AI60" s="8" t="str">
        <f>IF(OR(ACTIVIDADES!$I60="",AH$4=""),"",IF(ACTIVIDADES!$I60=AH$4,"●",IF(AND(ACTIVIDADES!$H60&lt;=AH$4,ACTIVIDADES!$I60&gt;=AH$4),"·","")))</f>
        <v>●</v>
      </c>
      <c r="AJ60" t="str">
        <f>IF(ACTIVIDADES!K60="","",ACTIVIDADES!K60)</f>
        <v>Pendiente</v>
      </c>
    </row>
    <row r="61" spans="1:36">
      <c r="A61" t="str">
        <f>IF(ACTIVIDADES!A61="","",ACTIVIDADES!A61)</f>
        <v>EX.01</v>
      </c>
      <c r="B61" t="str">
        <f>IF(ACTIVIDADES!B61="","",ACTIVIDADES!B61)</f>
        <v/>
      </c>
      <c r="C61" t="str">
        <f>IF(ACTIVIDADES!C61="","",ACTIVIDADES!C61)</f>
        <v>Extraordinaria</v>
      </c>
      <c r="D61" t="str">
        <f>IF(ACTIVIDADES!D61="","",ACTIVIDADES!D61)</f>
        <v/>
      </c>
      <c r="E61" s="8" t="str">
        <f>IF(OR(ACTIVIDADES!$I61="",D$4=""),"",IF(ACTIVIDADES!$I61=D$4,"●",IF(AND(ACTIVIDADES!$H61&lt;=D$4,ACTIVIDADES!$I61&gt;=D$4),"·","")))</f>
        <v/>
      </c>
      <c r="F61" s="8" t="str">
        <f>IF(OR(ACTIVIDADES!$I61="",E$4=""),"",IF(ACTIVIDADES!$I61=E$4,"●",IF(AND(ACTIVIDADES!$H61&lt;=E$4,ACTIVIDADES!$I61&gt;=E$4),"·","")))</f>
        <v/>
      </c>
      <c r="G61" s="8" t="str">
        <f>IF(OR(ACTIVIDADES!$I61="",F$4=""),"",IF(ACTIVIDADES!$I61=F$4,"●",IF(AND(ACTIVIDADES!$H61&lt;=F$4,ACTIVIDADES!$I61&gt;=F$4),"·","")))</f>
        <v/>
      </c>
      <c r="H61" s="8" t="str">
        <f>IF(OR(ACTIVIDADES!$I61="",G$4=""),"",IF(ACTIVIDADES!$I61=G$4,"●",IF(AND(ACTIVIDADES!$H61&lt;=G$4,ACTIVIDADES!$I61&gt;=G$4),"·","")))</f>
        <v/>
      </c>
      <c r="I61" s="8" t="str">
        <f>IF(OR(ACTIVIDADES!$I61="",H$4=""),"",IF(ACTIVIDADES!$I61=H$4,"●",IF(AND(ACTIVIDADES!$H61&lt;=H$4,ACTIVIDADES!$I61&gt;=H$4),"·","")))</f>
        <v/>
      </c>
      <c r="J61" s="8" t="str">
        <f>IF(OR(ACTIVIDADES!$I61="",I$4=""),"",IF(ACTIVIDADES!$I61=I$4,"●",IF(AND(ACTIVIDADES!$H61&lt;=I$4,ACTIVIDADES!$I61&gt;=I$4),"·","")))</f>
        <v/>
      </c>
      <c r="K61" s="8" t="str">
        <f>IF(OR(ACTIVIDADES!$I61="",J$4=""),"",IF(ACTIVIDADES!$I61=J$4,"●",IF(AND(ACTIVIDADES!$H61&lt;=J$4,ACTIVIDADES!$I61&gt;=J$4),"·","")))</f>
        <v/>
      </c>
      <c r="L61" s="8" t="str">
        <f>IF(OR(ACTIVIDADES!$I61="",K$4=""),"",IF(ACTIVIDADES!$I61=K$4,"●",IF(AND(ACTIVIDADES!$H61&lt;=K$4,ACTIVIDADES!$I61&gt;=K$4),"·","")))</f>
        <v/>
      </c>
      <c r="M61" s="8" t="str">
        <f>IF(OR(ACTIVIDADES!$I61="",L$4=""),"",IF(ACTIVIDADES!$I61=L$4,"●",IF(AND(ACTIVIDADES!$H61&lt;=L$4,ACTIVIDADES!$I61&gt;=L$4),"·","")))</f>
        <v/>
      </c>
      <c r="N61" s="8" t="str">
        <f>IF(OR(ACTIVIDADES!$I61="",M$4=""),"",IF(ACTIVIDADES!$I61=M$4,"●",IF(AND(ACTIVIDADES!$H61&lt;=M$4,ACTIVIDADES!$I61&gt;=M$4),"·","")))</f>
        <v/>
      </c>
      <c r="O61" s="8" t="str">
        <f>IF(OR(ACTIVIDADES!$I61="",N$4=""),"",IF(ACTIVIDADES!$I61=N$4,"●",IF(AND(ACTIVIDADES!$H61&lt;=N$4,ACTIVIDADES!$I61&gt;=N$4),"·","")))</f>
        <v/>
      </c>
      <c r="P61" s="8" t="str">
        <f>IF(OR(ACTIVIDADES!$I61="",O$4=""),"",IF(ACTIVIDADES!$I61=O$4,"●",IF(AND(ACTIVIDADES!$H61&lt;=O$4,ACTIVIDADES!$I61&gt;=O$4),"·","")))</f>
        <v/>
      </c>
      <c r="Q61" s="8" t="str">
        <f>IF(OR(ACTIVIDADES!$I61="",P$4=""),"",IF(ACTIVIDADES!$I61=P$4,"●",IF(AND(ACTIVIDADES!$H61&lt;=P$4,ACTIVIDADES!$I61&gt;=P$4),"·","")))</f>
        <v/>
      </c>
      <c r="R61" s="8" t="str">
        <f>IF(OR(ACTIVIDADES!$I61="",Q$4=""),"",IF(ACTIVIDADES!$I61=Q$4,"●",IF(AND(ACTIVIDADES!$H61&lt;=Q$4,ACTIVIDADES!$I61&gt;=Q$4),"·","")))</f>
        <v/>
      </c>
      <c r="S61" s="8" t="str">
        <f>IF(OR(ACTIVIDADES!$I61="",R$4=""),"",IF(ACTIVIDADES!$I61=R$4,"●",IF(AND(ACTIVIDADES!$H61&lt;=R$4,ACTIVIDADES!$I61&gt;=R$4),"·","")))</f>
        <v/>
      </c>
      <c r="T61" s="8" t="str">
        <f>IF(OR(ACTIVIDADES!$I61="",S$4=""),"",IF(ACTIVIDADES!$I61=S$4,"●",IF(AND(ACTIVIDADES!$H61&lt;=S$4,ACTIVIDADES!$I61&gt;=S$4),"·","")))</f>
        <v/>
      </c>
      <c r="U61" s="8" t="str">
        <f>IF(OR(ACTIVIDADES!$I61="",T$4=""),"",IF(ACTIVIDADES!$I61=T$4,"●",IF(AND(ACTIVIDADES!$H61&lt;=T$4,ACTIVIDADES!$I61&gt;=T$4),"·","")))</f>
        <v/>
      </c>
      <c r="V61" s="8" t="str">
        <f>IF(OR(ACTIVIDADES!$I61="",U$4=""),"",IF(ACTIVIDADES!$I61=U$4,"●",IF(AND(ACTIVIDADES!$H61&lt;=U$4,ACTIVIDADES!$I61&gt;=U$4),"·","")))</f>
        <v/>
      </c>
      <c r="W61" s="8" t="str">
        <f>IF(OR(ACTIVIDADES!$I61="",V$4=""),"",IF(ACTIVIDADES!$I61=V$4,"●",IF(AND(ACTIVIDADES!$H61&lt;=V$4,ACTIVIDADES!$I61&gt;=V$4),"·","")))</f>
        <v/>
      </c>
      <c r="X61" s="8" t="str">
        <f>IF(OR(ACTIVIDADES!$I61="",W$4=""),"",IF(ACTIVIDADES!$I61=W$4,"●",IF(AND(ACTIVIDADES!$H61&lt;=W$4,ACTIVIDADES!$I61&gt;=W$4),"·","")))</f>
        <v/>
      </c>
      <c r="Y61" s="8" t="str">
        <f>IF(OR(ACTIVIDADES!$I61="",X$4=""),"",IF(ACTIVIDADES!$I61=X$4,"●",IF(AND(ACTIVIDADES!$H61&lt;=X$4,ACTIVIDADES!$I61&gt;=X$4),"·","")))</f>
        <v/>
      </c>
      <c r="Z61" s="8" t="str">
        <f>IF(OR(ACTIVIDADES!$I61="",Y$4=""),"",IF(ACTIVIDADES!$I61=Y$4,"●",IF(AND(ACTIVIDADES!$H61&lt;=Y$4,ACTIVIDADES!$I61&gt;=Y$4),"·","")))</f>
        <v/>
      </c>
      <c r="AA61" s="8" t="str">
        <f>IF(OR(ACTIVIDADES!$I61="",Z$4=""),"",IF(ACTIVIDADES!$I61=Z$4,"●",IF(AND(ACTIVIDADES!$H61&lt;=Z$4,ACTIVIDADES!$I61&gt;=Z$4),"·","")))</f>
        <v/>
      </c>
      <c r="AB61" s="8" t="str">
        <f>IF(OR(ACTIVIDADES!$I61="",AA$4=""),"",IF(ACTIVIDADES!$I61=AA$4,"●",IF(AND(ACTIVIDADES!$H61&lt;=AA$4,ACTIVIDADES!$I61&gt;=AA$4),"·","")))</f>
        <v/>
      </c>
      <c r="AC61" s="8" t="str">
        <f>IF(OR(ACTIVIDADES!$I61="",AB$4=""),"",IF(ACTIVIDADES!$I61=AB$4,"●",IF(AND(ACTIVIDADES!$H61&lt;=AB$4,ACTIVIDADES!$I61&gt;=AB$4),"·","")))</f>
        <v/>
      </c>
      <c r="AD61" s="8" t="str">
        <f>IF(OR(ACTIVIDADES!$I61="",AC$4=""),"",IF(ACTIVIDADES!$I61=AC$4,"●",IF(AND(ACTIVIDADES!$H61&lt;=AC$4,ACTIVIDADES!$I61&gt;=AC$4),"·","")))</f>
        <v/>
      </c>
      <c r="AE61" s="8" t="str">
        <f>IF(OR(ACTIVIDADES!$I61="",AD$4=""),"",IF(ACTIVIDADES!$I61=AD$4,"●",IF(AND(ACTIVIDADES!$H61&lt;=AD$4,ACTIVIDADES!$I61&gt;=AD$4),"·","")))</f>
        <v/>
      </c>
      <c r="AF61" s="8" t="str">
        <f>IF(OR(ACTIVIDADES!$I61="",AE$4=""),"",IF(ACTIVIDADES!$I61=AE$4,"●",IF(AND(ACTIVIDADES!$H61&lt;=AE$4,ACTIVIDADES!$I61&gt;=AE$4),"·","")))</f>
        <v/>
      </c>
      <c r="AG61" s="8" t="str">
        <f>IF(OR(ACTIVIDADES!$I61="",AF$4=""),"",IF(ACTIVIDADES!$I61=AF$4,"●",IF(AND(ACTIVIDADES!$H61&lt;=AF$4,ACTIVIDADES!$I61&gt;=AF$4),"·","")))</f>
        <v/>
      </c>
      <c r="AH61" s="8" t="str">
        <f>IF(OR(ACTIVIDADES!$I61="",AG$4=""),"",IF(ACTIVIDADES!$I61=AG$4,"●",IF(AND(ACTIVIDADES!$H61&lt;=AG$4,ACTIVIDADES!$I61&gt;=AG$4),"·","")))</f>
        <v/>
      </c>
      <c r="AI61" s="8" t="str">
        <f>IF(OR(ACTIVIDADES!$I61="",AH$4=""),"",IF(ACTIVIDADES!$I61=AH$4,"●",IF(AND(ACTIVIDADES!$H61&lt;=AH$4,ACTIVIDADES!$I61&gt;=AH$4),"·","")))</f>
        <v/>
      </c>
      <c r="AJ61" t="str">
        <f>IF(ACTIVIDADES!K61="","",ACTIVIDADES!K61)</f>
        <v>Pendiente</v>
      </c>
    </row>
    <row r="62" spans="1:36">
      <c r="A62" t="str">
        <f>IF(ACTIVIDADES!A62="","",ACTIVIDADES!A62)</f>
        <v>EX.02</v>
      </c>
      <c r="B62" t="str">
        <f>IF(ACTIVIDADES!B62="","",ACTIVIDADES!B62)</f>
        <v/>
      </c>
      <c r="C62" t="str">
        <f>IF(ACTIVIDADES!C62="","",ACTIVIDADES!C62)</f>
        <v>No planificada</v>
      </c>
      <c r="D62" t="str">
        <f>IF(ACTIVIDADES!D62="","",ACTIVIDADES!D62)</f>
        <v/>
      </c>
      <c r="E62" s="8" t="str">
        <f>IF(OR(ACTIVIDADES!$I62="",D$4=""),"",IF(ACTIVIDADES!$I62=D$4,"●",IF(AND(ACTIVIDADES!$H62&lt;=D$4,ACTIVIDADES!$I62&gt;=D$4),"·","")))</f>
        <v/>
      </c>
      <c r="F62" s="8" t="str">
        <f>IF(OR(ACTIVIDADES!$I62="",E$4=""),"",IF(ACTIVIDADES!$I62=E$4,"●",IF(AND(ACTIVIDADES!$H62&lt;=E$4,ACTIVIDADES!$I62&gt;=E$4),"·","")))</f>
        <v/>
      </c>
      <c r="G62" s="8" t="str">
        <f>IF(OR(ACTIVIDADES!$I62="",F$4=""),"",IF(ACTIVIDADES!$I62=F$4,"●",IF(AND(ACTIVIDADES!$H62&lt;=F$4,ACTIVIDADES!$I62&gt;=F$4),"·","")))</f>
        <v/>
      </c>
      <c r="H62" s="8" t="str">
        <f>IF(OR(ACTIVIDADES!$I62="",G$4=""),"",IF(ACTIVIDADES!$I62=G$4,"●",IF(AND(ACTIVIDADES!$H62&lt;=G$4,ACTIVIDADES!$I62&gt;=G$4),"·","")))</f>
        <v/>
      </c>
      <c r="I62" s="8" t="str">
        <f>IF(OR(ACTIVIDADES!$I62="",H$4=""),"",IF(ACTIVIDADES!$I62=H$4,"●",IF(AND(ACTIVIDADES!$H62&lt;=H$4,ACTIVIDADES!$I62&gt;=H$4),"·","")))</f>
        <v/>
      </c>
      <c r="J62" s="8" t="str">
        <f>IF(OR(ACTIVIDADES!$I62="",I$4=""),"",IF(ACTIVIDADES!$I62=I$4,"●",IF(AND(ACTIVIDADES!$H62&lt;=I$4,ACTIVIDADES!$I62&gt;=I$4),"·","")))</f>
        <v/>
      </c>
      <c r="K62" s="8" t="str">
        <f>IF(OR(ACTIVIDADES!$I62="",J$4=""),"",IF(ACTIVIDADES!$I62=J$4,"●",IF(AND(ACTIVIDADES!$H62&lt;=J$4,ACTIVIDADES!$I62&gt;=J$4),"·","")))</f>
        <v/>
      </c>
      <c r="L62" s="8" t="str">
        <f>IF(OR(ACTIVIDADES!$I62="",K$4=""),"",IF(ACTIVIDADES!$I62=K$4,"●",IF(AND(ACTIVIDADES!$H62&lt;=K$4,ACTIVIDADES!$I62&gt;=K$4),"·","")))</f>
        <v/>
      </c>
      <c r="M62" s="8" t="str">
        <f>IF(OR(ACTIVIDADES!$I62="",L$4=""),"",IF(ACTIVIDADES!$I62=L$4,"●",IF(AND(ACTIVIDADES!$H62&lt;=L$4,ACTIVIDADES!$I62&gt;=L$4),"·","")))</f>
        <v/>
      </c>
      <c r="N62" s="8" t="str">
        <f>IF(OR(ACTIVIDADES!$I62="",M$4=""),"",IF(ACTIVIDADES!$I62=M$4,"●",IF(AND(ACTIVIDADES!$H62&lt;=M$4,ACTIVIDADES!$I62&gt;=M$4),"·","")))</f>
        <v/>
      </c>
      <c r="O62" s="8" t="str">
        <f>IF(OR(ACTIVIDADES!$I62="",N$4=""),"",IF(ACTIVIDADES!$I62=N$4,"●",IF(AND(ACTIVIDADES!$H62&lt;=N$4,ACTIVIDADES!$I62&gt;=N$4),"·","")))</f>
        <v/>
      </c>
      <c r="P62" s="8" t="str">
        <f>IF(OR(ACTIVIDADES!$I62="",O$4=""),"",IF(ACTIVIDADES!$I62=O$4,"●",IF(AND(ACTIVIDADES!$H62&lt;=O$4,ACTIVIDADES!$I62&gt;=O$4),"·","")))</f>
        <v/>
      </c>
      <c r="Q62" s="8" t="str">
        <f>IF(OR(ACTIVIDADES!$I62="",P$4=""),"",IF(ACTIVIDADES!$I62=P$4,"●",IF(AND(ACTIVIDADES!$H62&lt;=P$4,ACTIVIDADES!$I62&gt;=P$4),"·","")))</f>
        <v/>
      </c>
      <c r="R62" s="8" t="str">
        <f>IF(OR(ACTIVIDADES!$I62="",Q$4=""),"",IF(ACTIVIDADES!$I62=Q$4,"●",IF(AND(ACTIVIDADES!$H62&lt;=Q$4,ACTIVIDADES!$I62&gt;=Q$4),"·","")))</f>
        <v/>
      </c>
      <c r="S62" s="8" t="str">
        <f>IF(OR(ACTIVIDADES!$I62="",R$4=""),"",IF(ACTIVIDADES!$I62=R$4,"●",IF(AND(ACTIVIDADES!$H62&lt;=R$4,ACTIVIDADES!$I62&gt;=R$4),"·","")))</f>
        <v/>
      </c>
      <c r="T62" s="8" t="str">
        <f>IF(OR(ACTIVIDADES!$I62="",S$4=""),"",IF(ACTIVIDADES!$I62=S$4,"●",IF(AND(ACTIVIDADES!$H62&lt;=S$4,ACTIVIDADES!$I62&gt;=S$4),"·","")))</f>
        <v/>
      </c>
      <c r="U62" s="8" t="str">
        <f>IF(OR(ACTIVIDADES!$I62="",T$4=""),"",IF(ACTIVIDADES!$I62=T$4,"●",IF(AND(ACTIVIDADES!$H62&lt;=T$4,ACTIVIDADES!$I62&gt;=T$4),"·","")))</f>
        <v/>
      </c>
      <c r="V62" s="8" t="str">
        <f>IF(OR(ACTIVIDADES!$I62="",U$4=""),"",IF(ACTIVIDADES!$I62=U$4,"●",IF(AND(ACTIVIDADES!$H62&lt;=U$4,ACTIVIDADES!$I62&gt;=U$4),"·","")))</f>
        <v/>
      </c>
      <c r="W62" s="8" t="str">
        <f>IF(OR(ACTIVIDADES!$I62="",V$4=""),"",IF(ACTIVIDADES!$I62=V$4,"●",IF(AND(ACTIVIDADES!$H62&lt;=V$4,ACTIVIDADES!$I62&gt;=V$4),"·","")))</f>
        <v/>
      </c>
      <c r="X62" s="8" t="str">
        <f>IF(OR(ACTIVIDADES!$I62="",W$4=""),"",IF(ACTIVIDADES!$I62=W$4,"●",IF(AND(ACTIVIDADES!$H62&lt;=W$4,ACTIVIDADES!$I62&gt;=W$4),"·","")))</f>
        <v/>
      </c>
      <c r="Y62" s="8" t="str">
        <f>IF(OR(ACTIVIDADES!$I62="",X$4=""),"",IF(ACTIVIDADES!$I62=X$4,"●",IF(AND(ACTIVIDADES!$H62&lt;=X$4,ACTIVIDADES!$I62&gt;=X$4),"·","")))</f>
        <v/>
      </c>
      <c r="Z62" s="8" t="str">
        <f>IF(OR(ACTIVIDADES!$I62="",Y$4=""),"",IF(ACTIVIDADES!$I62=Y$4,"●",IF(AND(ACTIVIDADES!$H62&lt;=Y$4,ACTIVIDADES!$I62&gt;=Y$4),"·","")))</f>
        <v/>
      </c>
      <c r="AA62" s="8" t="str">
        <f>IF(OR(ACTIVIDADES!$I62="",Z$4=""),"",IF(ACTIVIDADES!$I62=Z$4,"●",IF(AND(ACTIVIDADES!$H62&lt;=Z$4,ACTIVIDADES!$I62&gt;=Z$4),"·","")))</f>
        <v/>
      </c>
      <c r="AB62" s="8" t="str">
        <f>IF(OR(ACTIVIDADES!$I62="",AA$4=""),"",IF(ACTIVIDADES!$I62=AA$4,"●",IF(AND(ACTIVIDADES!$H62&lt;=AA$4,ACTIVIDADES!$I62&gt;=AA$4),"·","")))</f>
        <v/>
      </c>
      <c r="AC62" s="8" t="str">
        <f>IF(OR(ACTIVIDADES!$I62="",AB$4=""),"",IF(ACTIVIDADES!$I62=AB$4,"●",IF(AND(ACTIVIDADES!$H62&lt;=AB$4,ACTIVIDADES!$I62&gt;=AB$4),"·","")))</f>
        <v/>
      </c>
      <c r="AD62" s="8" t="str">
        <f>IF(OR(ACTIVIDADES!$I62="",AC$4=""),"",IF(ACTIVIDADES!$I62=AC$4,"●",IF(AND(ACTIVIDADES!$H62&lt;=AC$4,ACTIVIDADES!$I62&gt;=AC$4),"·","")))</f>
        <v/>
      </c>
      <c r="AE62" s="8" t="str">
        <f>IF(OR(ACTIVIDADES!$I62="",AD$4=""),"",IF(ACTIVIDADES!$I62=AD$4,"●",IF(AND(ACTIVIDADES!$H62&lt;=AD$4,ACTIVIDADES!$I62&gt;=AD$4),"·","")))</f>
        <v/>
      </c>
      <c r="AF62" s="8" t="str">
        <f>IF(OR(ACTIVIDADES!$I62="",AE$4=""),"",IF(ACTIVIDADES!$I62=AE$4,"●",IF(AND(ACTIVIDADES!$H62&lt;=AE$4,ACTIVIDADES!$I62&gt;=AE$4),"·","")))</f>
        <v/>
      </c>
      <c r="AG62" s="8" t="str">
        <f>IF(OR(ACTIVIDADES!$I62="",AF$4=""),"",IF(ACTIVIDADES!$I62=AF$4,"●",IF(AND(ACTIVIDADES!$H62&lt;=AF$4,ACTIVIDADES!$I62&gt;=AF$4),"·","")))</f>
        <v/>
      </c>
      <c r="AH62" s="8" t="str">
        <f>IF(OR(ACTIVIDADES!$I62="",AG$4=""),"",IF(ACTIVIDADES!$I62=AG$4,"●",IF(AND(ACTIVIDADES!$H62&lt;=AG$4,ACTIVIDADES!$I62&gt;=AG$4),"·","")))</f>
        <v/>
      </c>
      <c r="AI62" s="8" t="str">
        <f>IF(OR(ACTIVIDADES!$I62="",AH$4=""),"",IF(ACTIVIDADES!$I62=AH$4,"●",IF(AND(ACTIVIDADES!$H62&lt;=AH$4,ACTIVIDADES!$I62&gt;=AH$4),"·","")))</f>
        <v/>
      </c>
      <c r="AJ62" t="str">
        <f>IF(ACTIVIDADES!K62="","",ACTIVIDADES!K62)</f>
        <v>Pendiente</v>
      </c>
    </row>
    <row r="63" spans="1:36">
      <c r="A63" t="str">
        <f>IF(ACTIVIDADES!A63="","",ACTIVIDADES!A63)</f>
        <v>EX.03</v>
      </c>
      <c r="B63" t="str">
        <f>IF(ACTIVIDADES!B63="","",ACTIVIDADES!B63)</f>
        <v/>
      </c>
      <c r="C63" t="str">
        <f>IF(ACTIVIDADES!C63="","",ACTIVIDADES!C63)</f>
        <v>Extraordinaria</v>
      </c>
      <c r="D63" t="str">
        <f>IF(ACTIVIDADES!D63="","",ACTIVIDADES!D63)</f>
        <v/>
      </c>
      <c r="E63" s="8" t="str">
        <f>IF(OR(ACTIVIDADES!$I63="",D$4=""),"",IF(ACTIVIDADES!$I63=D$4,"●",IF(AND(ACTIVIDADES!$H63&lt;=D$4,ACTIVIDADES!$I63&gt;=D$4),"·","")))</f>
        <v/>
      </c>
      <c r="F63" s="8" t="str">
        <f>IF(OR(ACTIVIDADES!$I63="",E$4=""),"",IF(ACTIVIDADES!$I63=E$4,"●",IF(AND(ACTIVIDADES!$H63&lt;=E$4,ACTIVIDADES!$I63&gt;=E$4),"·","")))</f>
        <v/>
      </c>
      <c r="G63" s="8" t="str">
        <f>IF(OR(ACTIVIDADES!$I63="",F$4=""),"",IF(ACTIVIDADES!$I63=F$4,"●",IF(AND(ACTIVIDADES!$H63&lt;=F$4,ACTIVIDADES!$I63&gt;=F$4),"·","")))</f>
        <v/>
      </c>
      <c r="H63" s="8" t="str">
        <f>IF(OR(ACTIVIDADES!$I63="",G$4=""),"",IF(ACTIVIDADES!$I63=G$4,"●",IF(AND(ACTIVIDADES!$H63&lt;=G$4,ACTIVIDADES!$I63&gt;=G$4),"·","")))</f>
        <v/>
      </c>
      <c r="I63" s="8" t="str">
        <f>IF(OR(ACTIVIDADES!$I63="",H$4=""),"",IF(ACTIVIDADES!$I63=H$4,"●",IF(AND(ACTIVIDADES!$H63&lt;=H$4,ACTIVIDADES!$I63&gt;=H$4),"·","")))</f>
        <v/>
      </c>
      <c r="J63" s="8" t="str">
        <f>IF(OR(ACTIVIDADES!$I63="",I$4=""),"",IF(ACTIVIDADES!$I63=I$4,"●",IF(AND(ACTIVIDADES!$H63&lt;=I$4,ACTIVIDADES!$I63&gt;=I$4),"·","")))</f>
        <v/>
      </c>
      <c r="K63" s="8" t="str">
        <f>IF(OR(ACTIVIDADES!$I63="",J$4=""),"",IF(ACTIVIDADES!$I63=J$4,"●",IF(AND(ACTIVIDADES!$H63&lt;=J$4,ACTIVIDADES!$I63&gt;=J$4),"·","")))</f>
        <v/>
      </c>
      <c r="L63" s="8" t="str">
        <f>IF(OR(ACTIVIDADES!$I63="",K$4=""),"",IF(ACTIVIDADES!$I63=K$4,"●",IF(AND(ACTIVIDADES!$H63&lt;=K$4,ACTIVIDADES!$I63&gt;=K$4),"·","")))</f>
        <v/>
      </c>
      <c r="M63" s="8" t="str">
        <f>IF(OR(ACTIVIDADES!$I63="",L$4=""),"",IF(ACTIVIDADES!$I63=L$4,"●",IF(AND(ACTIVIDADES!$H63&lt;=L$4,ACTIVIDADES!$I63&gt;=L$4),"·","")))</f>
        <v/>
      </c>
      <c r="N63" s="8" t="str">
        <f>IF(OR(ACTIVIDADES!$I63="",M$4=""),"",IF(ACTIVIDADES!$I63=M$4,"●",IF(AND(ACTIVIDADES!$H63&lt;=M$4,ACTIVIDADES!$I63&gt;=M$4),"·","")))</f>
        <v/>
      </c>
      <c r="O63" s="8" t="str">
        <f>IF(OR(ACTIVIDADES!$I63="",N$4=""),"",IF(ACTIVIDADES!$I63=N$4,"●",IF(AND(ACTIVIDADES!$H63&lt;=N$4,ACTIVIDADES!$I63&gt;=N$4),"·","")))</f>
        <v/>
      </c>
      <c r="P63" s="8" t="str">
        <f>IF(OR(ACTIVIDADES!$I63="",O$4=""),"",IF(ACTIVIDADES!$I63=O$4,"●",IF(AND(ACTIVIDADES!$H63&lt;=O$4,ACTIVIDADES!$I63&gt;=O$4),"·","")))</f>
        <v/>
      </c>
      <c r="Q63" s="8" t="str">
        <f>IF(OR(ACTIVIDADES!$I63="",P$4=""),"",IF(ACTIVIDADES!$I63=P$4,"●",IF(AND(ACTIVIDADES!$H63&lt;=P$4,ACTIVIDADES!$I63&gt;=P$4),"·","")))</f>
        <v/>
      </c>
      <c r="R63" s="8" t="str">
        <f>IF(OR(ACTIVIDADES!$I63="",Q$4=""),"",IF(ACTIVIDADES!$I63=Q$4,"●",IF(AND(ACTIVIDADES!$H63&lt;=Q$4,ACTIVIDADES!$I63&gt;=Q$4),"·","")))</f>
        <v/>
      </c>
      <c r="S63" s="8" t="str">
        <f>IF(OR(ACTIVIDADES!$I63="",R$4=""),"",IF(ACTIVIDADES!$I63=R$4,"●",IF(AND(ACTIVIDADES!$H63&lt;=R$4,ACTIVIDADES!$I63&gt;=R$4),"·","")))</f>
        <v/>
      </c>
      <c r="T63" s="8" t="str">
        <f>IF(OR(ACTIVIDADES!$I63="",S$4=""),"",IF(ACTIVIDADES!$I63=S$4,"●",IF(AND(ACTIVIDADES!$H63&lt;=S$4,ACTIVIDADES!$I63&gt;=S$4),"·","")))</f>
        <v/>
      </c>
      <c r="U63" s="8" t="str">
        <f>IF(OR(ACTIVIDADES!$I63="",T$4=""),"",IF(ACTIVIDADES!$I63=T$4,"●",IF(AND(ACTIVIDADES!$H63&lt;=T$4,ACTIVIDADES!$I63&gt;=T$4),"·","")))</f>
        <v/>
      </c>
      <c r="V63" s="8" t="str">
        <f>IF(OR(ACTIVIDADES!$I63="",U$4=""),"",IF(ACTIVIDADES!$I63=U$4,"●",IF(AND(ACTIVIDADES!$H63&lt;=U$4,ACTIVIDADES!$I63&gt;=U$4),"·","")))</f>
        <v/>
      </c>
      <c r="W63" s="8" t="str">
        <f>IF(OR(ACTIVIDADES!$I63="",V$4=""),"",IF(ACTIVIDADES!$I63=V$4,"●",IF(AND(ACTIVIDADES!$H63&lt;=V$4,ACTIVIDADES!$I63&gt;=V$4),"·","")))</f>
        <v/>
      </c>
      <c r="X63" s="8" t="str">
        <f>IF(OR(ACTIVIDADES!$I63="",W$4=""),"",IF(ACTIVIDADES!$I63=W$4,"●",IF(AND(ACTIVIDADES!$H63&lt;=W$4,ACTIVIDADES!$I63&gt;=W$4),"·","")))</f>
        <v/>
      </c>
      <c r="Y63" s="8" t="str">
        <f>IF(OR(ACTIVIDADES!$I63="",X$4=""),"",IF(ACTIVIDADES!$I63=X$4,"●",IF(AND(ACTIVIDADES!$H63&lt;=X$4,ACTIVIDADES!$I63&gt;=X$4),"·","")))</f>
        <v/>
      </c>
      <c r="Z63" s="8" t="str">
        <f>IF(OR(ACTIVIDADES!$I63="",Y$4=""),"",IF(ACTIVIDADES!$I63=Y$4,"●",IF(AND(ACTIVIDADES!$H63&lt;=Y$4,ACTIVIDADES!$I63&gt;=Y$4),"·","")))</f>
        <v/>
      </c>
      <c r="AA63" s="8" t="str">
        <f>IF(OR(ACTIVIDADES!$I63="",Z$4=""),"",IF(ACTIVIDADES!$I63=Z$4,"●",IF(AND(ACTIVIDADES!$H63&lt;=Z$4,ACTIVIDADES!$I63&gt;=Z$4),"·","")))</f>
        <v/>
      </c>
      <c r="AB63" s="8" t="str">
        <f>IF(OR(ACTIVIDADES!$I63="",AA$4=""),"",IF(ACTIVIDADES!$I63=AA$4,"●",IF(AND(ACTIVIDADES!$H63&lt;=AA$4,ACTIVIDADES!$I63&gt;=AA$4),"·","")))</f>
        <v/>
      </c>
      <c r="AC63" s="8" t="str">
        <f>IF(OR(ACTIVIDADES!$I63="",AB$4=""),"",IF(ACTIVIDADES!$I63=AB$4,"●",IF(AND(ACTIVIDADES!$H63&lt;=AB$4,ACTIVIDADES!$I63&gt;=AB$4),"·","")))</f>
        <v/>
      </c>
      <c r="AD63" s="8" t="str">
        <f>IF(OR(ACTIVIDADES!$I63="",AC$4=""),"",IF(ACTIVIDADES!$I63=AC$4,"●",IF(AND(ACTIVIDADES!$H63&lt;=AC$4,ACTIVIDADES!$I63&gt;=AC$4),"·","")))</f>
        <v/>
      </c>
      <c r="AE63" s="8" t="str">
        <f>IF(OR(ACTIVIDADES!$I63="",AD$4=""),"",IF(ACTIVIDADES!$I63=AD$4,"●",IF(AND(ACTIVIDADES!$H63&lt;=AD$4,ACTIVIDADES!$I63&gt;=AD$4),"·","")))</f>
        <v/>
      </c>
      <c r="AF63" s="8" t="str">
        <f>IF(OR(ACTIVIDADES!$I63="",AE$4=""),"",IF(ACTIVIDADES!$I63=AE$4,"●",IF(AND(ACTIVIDADES!$H63&lt;=AE$4,ACTIVIDADES!$I63&gt;=AE$4),"·","")))</f>
        <v/>
      </c>
      <c r="AG63" s="8" t="str">
        <f>IF(OR(ACTIVIDADES!$I63="",AF$4=""),"",IF(ACTIVIDADES!$I63=AF$4,"●",IF(AND(ACTIVIDADES!$H63&lt;=AF$4,ACTIVIDADES!$I63&gt;=AF$4),"·","")))</f>
        <v/>
      </c>
      <c r="AH63" s="8" t="str">
        <f>IF(OR(ACTIVIDADES!$I63="",AG$4=""),"",IF(ACTIVIDADES!$I63=AG$4,"●",IF(AND(ACTIVIDADES!$H63&lt;=AG$4,ACTIVIDADES!$I63&gt;=AG$4),"·","")))</f>
        <v/>
      </c>
      <c r="AI63" s="8" t="str">
        <f>IF(OR(ACTIVIDADES!$I63="",AH$4=""),"",IF(ACTIVIDADES!$I63=AH$4,"●",IF(AND(ACTIVIDADES!$H63&lt;=AH$4,ACTIVIDADES!$I63&gt;=AH$4),"·","")))</f>
        <v/>
      </c>
      <c r="AJ63" t="str">
        <f>IF(ACTIVIDADES!K63="","",ACTIVIDADES!K63)</f>
        <v>Pendiente</v>
      </c>
    </row>
    <row r="64" spans="1:36">
      <c r="A64" t="str">
        <f>IF(ACTIVIDADES!A64="","",ACTIVIDADES!A64)</f>
        <v>EX.04</v>
      </c>
      <c r="B64" t="str">
        <f>IF(ACTIVIDADES!B64="","",ACTIVIDADES!B64)</f>
        <v/>
      </c>
      <c r="C64" t="str">
        <f>IF(ACTIVIDADES!C64="","",ACTIVIDADES!C64)</f>
        <v>No planificada</v>
      </c>
      <c r="D64" t="str">
        <f>IF(ACTIVIDADES!D64="","",ACTIVIDADES!D64)</f>
        <v/>
      </c>
      <c r="E64" s="8" t="str">
        <f>IF(OR(ACTIVIDADES!$I64="",D$4=""),"",IF(ACTIVIDADES!$I64=D$4,"●",IF(AND(ACTIVIDADES!$H64&lt;=D$4,ACTIVIDADES!$I64&gt;=D$4),"·","")))</f>
        <v/>
      </c>
      <c r="F64" s="8" t="str">
        <f>IF(OR(ACTIVIDADES!$I64="",E$4=""),"",IF(ACTIVIDADES!$I64=E$4,"●",IF(AND(ACTIVIDADES!$H64&lt;=E$4,ACTIVIDADES!$I64&gt;=E$4),"·","")))</f>
        <v/>
      </c>
      <c r="G64" s="8" t="str">
        <f>IF(OR(ACTIVIDADES!$I64="",F$4=""),"",IF(ACTIVIDADES!$I64=F$4,"●",IF(AND(ACTIVIDADES!$H64&lt;=F$4,ACTIVIDADES!$I64&gt;=F$4),"·","")))</f>
        <v/>
      </c>
      <c r="H64" s="8" t="str">
        <f>IF(OR(ACTIVIDADES!$I64="",G$4=""),"",IF(ACTIVIDADES!$I64=G$4,"●",IF(AND(ACTIVIDADES!$H64&lt;=G$4,ACTIVIDADES!$I64&gt;=G$4),"·","")))</f>
        <v/>
      </c>
      <c r="I64" s="8" t="str">
        <f>IF(OR(ACTIVIDADES!$I64="",H$4=""),"",IF(ACTIVIDADES!$I64=H$4,"●",IF(AND(ACTIVIDADES!$H64&lt;=H$4,ACTIVIDADES!$I64&gt;=H$4),"·","")))</f>
        <v/>
      </c>
      <c r="J64" s="8" t="str">
        <f>IF(OR(ACTIVIDADES!$I64="",I$4=""),"",IF(ACTIVIDADES!$I64=I$4,"●",IF(AND(ACTIVIDADES!$H64&lt;=I$4,ACTIVIDADES!$I64&gt;=I$4),"·","")))</f>
        <v/>
      </c>
      <c r="K64" s="8" t="str">
        <f>IF(OR(ACTIVIDADES!$I64="",J$4=""),"",IF(ACTIVIDADES!$I64=J$4,"●",IF(AND(ACTIVIDADES!$H64&lt;=J$4,ACTIVIDADES!$I64&gt;=J$4),"·","")))</f>
        <v/>
      </c>
      <c r="L64" s="8" t="str">
        <f>IF(OR(ACTIVIDADES!$I64="",K$4=""),"",IF(ACTIVIDADES!$I64=K$4,"●",IF(AND(ACTIVIDADES!$H64&lt;=K$4,ACTIVIDADES!$I64&gt;=K$4),"·","")))</f>
        <v/>
      </c>
      <c r="M64" s="8" t="str">
        <f>IF(OR(ACTIVIDADES!$I64="",L$4=""),"",IF(ACTIVIDADES!$I64=L$4,"●",IF(AND(ACTIVIDADES!$H64&lt;=L$4,ACTIVIDADES!$I64&gt;=L$4),"·","")))</f>
        <v/>
      </c>
      <c r="N64" s="8" t="str">
        <f>IF(OR(ACTIVIDADES!$I64="",M$4=""),"",IF(ACTIVIDADES!$I64=M$4,"●",IF(AND(ACTIVIDADES!$H64&lt;=M$4,ACTIVIDADES!$I64&gt;=M$4),"·","")))</f>
        <v/>
      </c>
      <c r="O64" s="8" t="str">
        <f>IF(OR(ACTIVIDADES!$I64="",N$4=""),"",IF(ACTIVIDADES!$I64=N$4,"●",IF(AND(ACTIVIDADES!$H64&lt;=N$4,ACTIVIDADES!$I64&gt;=N$4),"·","")))</f>
        <v/>
      </c>
      <c r="P64" s="8" t="str">
        <f>IF(OR(ACTIVIDADES!$I64="",O$4=""),"",IF(ACTIVIDADES!$I64=O$4,"●",IF(AND(ACTIVIDADES!$H64&lt;=O$4,ACTIVIDADES!$I64&gt;=O$4),"·","")))</f>
        <v/>
      </c>
      <c r="Q64" s="8" t="str">
        <f>IF(OR(ACTIVIDADES!$I64="",P$4=""),"",IF(ACTIVIDADES!$I64=P$4,"●",IF(AND(ACTIVIDADES!$H64&lt;=P$4,ACTIVIDADES!$I64&gt;=P$4),"·","")))</f>
        <v/>
      </c>
      <c r="R64" s="8" t="str">
        <f>IF(OR(ACTIVIDADES!$I64="",Q$4=""),"",IF(ACTIVIDADES!$I64=Q$4,"●",IF(AND(ACTIVIDADES!$H64&lt;=Q$4,ACTIVIDADES!$I64&gt;=Q$4),"·","")))</f>
        <v/>
      </c>
      <c r="S64" s="8" t="str">
        <f>IF(OR(ACTIVIDADES!$I64="",R$4=""),"",IF(ACTIVIDADES!$I64=R$4,"●",IF(AND(ACTIVIDADES!$H64&lt;=R$4,ACTIVIDADES!$I64&gt;=R$4),"·","")))</f>
        <v/>
      </c>
      <c r="T64" s="8" t="str">
        <f>IF(OR(ACTIVIDADES!$I64="",S$4=""),"",IF(ACTIVIDADES!$I64=S$4,"●",IF(AND(ACTIVIDADES!$H64&lt;=S$4,ACTIVIDADES!$I64&gt;=S$4),"·","")))</f>
        <v/>
      </c>
      <c r="U64" s="8" t="str">
        <f>IF(OR(ACTIVIDADES!$I64="",T$4=""),"",IF(ACTIVIDADES!$I64=T$4,"●",IF(AND(ACTIVIDADES!$H64&lt;=T$4,ACTIVIDADES!$I64&gt;=T$4),"·","")))</f>
        <v/>
      </c>
      <c r="V64" s="8" t="str">
        <f>IF(OR(ACTIVIDADES!$I64="",U$4=""),"",IF(ACTIVIDADES!$I64=U$4,"●",IF(AND(ACTIVIDADES!$H64&lt;=U$4,ACTIVIDADES!$I64&gt;=U$4),"·","")))</f>
        <v/>
      </c>
      <c r="W64" s="8" t="str">
        <f>IF(OR(ACTIVIDADES!$I64="",V$4=""),"",IF(ACTIVIDADES!$I64=V$4,"●",IF(AND(ACTIVIDADES!$H64&lt;=V$4,ACTIVIDADES!$I64&gt;=V$4),"·","")))</f>
        <v/>
      </c>
      <c r="X64" s="8" t="str">
        <f>IF(OR(ACTIVIDADES!$I64="",W$4=""),"",IF(ACTIVIDADES!$I64=W$4,"●",IF(AND(ACTIVIDADES!$H64&lt;=W$4,ACTIVIDADES!$I64&gt;=W$4),"·","")))</f>
        <v/>
      </c>
      <c r="Y64" s="8" t="str">
        <f>IF(OR(ACTIVIDADES!$I64="",X$4=""),"",IF(ACTIVIDADES!$I64=X$4,"●",IF(AND(ACTIVIDADES!$H64&lt;=X$4,ACTIVIDADES!$I64&gt;=X$4),"·","")))</f>
        <v/>
      </c>
      <c r="Z64" s="8" t="str">
        <f>IF(OR(ACTIVIDADES!$I64="",Y$4=""),"",IF(ACTIVIDADES!$I64=Y$4,"●",IF(AND(ACTIVIDADES!$H64&lt;=Y$4,ACTIVIDADES!$I64&gt;=Y$4),"·","")))</f>
        <v/>
      </c>
      <c r="AA64" s="8" t="str">
        <f>IF(OR(ACTIVIDADES!$I64="",Z$4=""),"",IF(ACTIVIDADES!$I64=Z$4,"●",IF(AND(ACTIVIDADES!$H64&lt;=Z$4,ACTIVIDADES!$I64&gt;=Z$4),"·","")))</f>
        <v/>
      </c>
      <c r="AB64" s="8" t="str">
        <f>IF(OR(ACTIVIDADES!$I64="",AA$4=""),"",IF(ACTIVIDADES!$I64=AA$4,"●",IF(AND(ACTIVIDADES!$H64&lt;=AA$4,ACTIVIDADES!$I64&gt;=AA$4),"·","")))</f>
        <v/>
      </c>
      <c r="AC64" s="8" t="str">
        <f>IF(OR(ACTIVIDADES!$I64="",AB$4=""),"",IF(ACTIVIDADES!$I64=AB$4,"●",IF(AND(ACTIVIDADES!$H64&lt;=AB$4,ACTIVIDADES!$I64&gt;=AB$4),"·","")))</f>
        <v/>
      </c>
      <c r="AD64" s="8" t="str">
        <f>IF(OR(ACTIVIDADES!$I64="",AC$4=""),"",IF(ACTIVIDADES!$I64=AC$4,"●",IF(AND(ACTIVIDADES!$H64&lt;=AC$4,ACTIVIDADES!$I64&gt;=AC$4),"·","")))</f>
        <v/>
      </c>
      <c r="AE64" s="8" t="str">
        <f>IF(OR(ACTIVIDADES!$I64="",AD$4=""),"",IF(ACTIVIDADES!$I64=AD$4,"●",IF(AND(ACTIVIDADES!$H64&lt;=AD$4,ACTIVIDADES!$I64&gt;=AD$4),"·","")))</f>
        <v/>
      </c>
      <c r="AF64" s="8" t="str">
        <f>IF(OR(ACTIVIDADES!$I64="",AE$4=""),"",IF(ACTIVIDADES!$I64=AE$4,"●",IF(AND(ACTIVIDADES!$H64&lt;=AE$4,ACTIVIDADES!$I64&gt;=AE$4),"·","")))</f>
        <v/>
      </c>
      <c r="AG64" s="8" t="str">
        <f>IF(OR(ACTIVIDADES!$I64="",AF$4=""),"",IF(ACTIVIDADES!$I64=AF$4,"●",IF(AND(ACTIVIDADES!$H64&lt;=AF$4,ACTIVIDADES!$I64&gt;=AF$4),"·","")))</f>
        <v/>
      </c>
      <c r="AH64" s="8" t="str">
        <f>IF(OR(ACTIVIDADES!$I64="",AG$4=""),"",IF(ACTIVIDADES!$I64=AG$4,"●",IF(AND(ACTIVIDADES!$H64&lt;=AG$4,ACTIVIDADES!$I64&gt;=AG$4),"·","")))</f>
        <v/>
      </c>
      <c r="AI64" s="8" t="str">
        <f>IF(OR(ACTIVIDADES!$I64="",AH$4=""),"",IF(ACTIVIDADES!$I64=AH$4,"●",IF(AND(ACTIVIDADES!$H64&lt;=AH$4,ACTIVIDADES!$I64&gt;=AH$4),"·","")))</f>
        <v/>
      </c>
      <c r="AJ64" t="str">
        <f>IF(ACTIVIDADES!K64="","",ACTIVIDADES!K64)</f>
        <v>Pendiente</v>
      </c>
    </row>
    <row r="65" spans="1:36">
      <c r="A65" t="str">
        <f>IF(ACTIVIDADES!A65="","",ACTIVIDADES!A65)</f>
        <v>EX.05</v>
      </c>
      <c r="B65" t="str">
        <f>IF(ACTIVIDADES!B65="","",ACTIVIDADES!B65)</f>
        <v/>
      </c>
      <c r="C65" t="str">
        <f>IF(ACTIVIDADES!C65="","",ACTIVIDADES!C65)</f>
        <v>Extraordinaria</v>
      </c>
      <c r="D65" t="str">
        <f>IF(ACTIVIDADES!D65="","",ACTIVIDADES!D65)</f>
        <v/>
      </c>
      <c r="E65" s="8" t="str">
        <f>IF(OR(ACTIVIDADES!$I65="",D$4=""),"",IF(ACTIVIDADES!$I65=D$4,"●",IF(AND(ACTIVIDADES!$H65&lt;=D$4,ACTIVIDADES!$I65&gt;=D$4),"·","")))</f>
        <v/>
      </c>
      <c r="F65" s="8" t="str">
        <f>IF(OR(ACTIVIDADES!$I65="",E$4=""),"",IF(ACTIVIDADES!$I65=E$4,"●",IF(AND(ACTIVIDADES!$H65&lt;=E$4,ACTIVIDADES!$I65&gt;=E$4),"·","")))</f>
        <v/>
      </c>
      <c r="G65" s="8" t="str">
        <f>IF(OR(ACTIVIDADES!$I65="",F$4=""),"",IF(ACTIVIDADES!$I65=F$4,"●",IF(AND(ACTIVIDADES!$H65&lt;=F$4,ACTIVIDADES!$I65&gt;=F$4),"·","")))</f>
        <v/>
      </c>
      <c r="H65" s="8" t="str">
        <f>IF(OR(ACTIVIDADES!$I65="",G$4=""),"",IF(ACTIVIDADES!$I65=G$4,"●",IF(AND(ACTIVIDADES!$H65&lt;=G$4,ACTIVIDADES!$I65&gt;=G$4),"·","")))</f>
        <v/>
      </c>
      <c r="I65" s="8" t="str">
        <f>IF(OR(ACTIVIDADES!$I65="",H$4=""),"",IF(ACTIVIDADES!$I65=H$4,"●",IF(AND(ACTIVIDADES!$H65&lt;=H$4,ACTIVIDADES!$I65&gt;=H$4),"·","")))</f>
        <v/>
      </c>
      <c r="J65" s="8" t="str">
        <f>IF(OR(ACTIVIDADES!$I65="",I$4=""),"",IF(ACTIVIDADES!$I65=I$4,"●",IF(AND(ACTIVIDADES!$H65&lt;=I$4,ACTIVIDADES!$I65&gt;=I$4),"·","")))</f>
        <v/>
      </c>
      <c r="K65" s="8" t="str">
        <f>IF(OR(ACTIVIDADES!$I65="",J$4=""),"",IF(ACTIVIDADES!$I65=J$4,"●",IF(AND(ACTIVIDADES!$H65&lt;=J$4,ACTIVIDADES!$I65&gt;=J$4),"·","")))</f>
        <v/>
      </c>
      <c r="L65" s="8" t="str">
        <f>IF(OR(ACTIVIDADES!$I65="",K$4=""),"",IF(ACTIVIDADES!$I65=K$4,"●",IF(AND(ACTIVIDADES!$H65&lt;=K$4,ACTIVIDADES!$I65&gt;=K$4),"·","")))</f>
        <v/>
      </c>
      <c r="M65" s="8" t="str">
        <f>IF(OR(ACTIVIDADES!$I65="",L$4=""),"",IF(ACTIVIDADES!$I65=L$4,"●",IF(AND(ACTIVIDADES!$H65&lt;=L$4,ACTIVIDADES!$I65&gt;=L$4),"·","")))</f>
        <v/>
      </c>
      <c r="N65" s="8" t="str">
        <f>IF(OR(ACTIVIDADES!$I65="",M$4=""),"",IF(ACTIVIDADES!$I65=M$4,"●",IF(AND(ACTIVIDADES!$H65&lt;=M$4,ACTIVIDADES!$I65&gt;=M$4),"·","")))</f>
        <v/>
      </c>
      <c r="O65" s="8" t="str">
        <f>IF(OR(ACTIVIDADES!$I65="",N$4=""),"",IF(ACTIVIDADES!$I65=N$4,"●",IF(AND(ACTIVIDADES!$H65&lt;=N$4,ACTIVIDADES!$I65&gt;=N$4),"·","")))</f>
        <v/>
      </c>
      <c r="P65" s="8" t="str">
        <f>IF(OR(ACTIVIDADES!$I65="",O$4=""),"",IF(ACTIVIDADES!$I65=O$4,"●",IF(AND(ACTIVIDADES!$H65&lt;=O$4,ACTIVIDADES!$I65&gt;=O$4),"·","")))</f>
        <v/>
      </c>
      <c r="Q65" s="8" t="str">
        <f>IF(OR(ACTIVIDADES!$I65="",P$4=""),"",IF(ACTIVIDADES!$I65=P$4,"●",IF(AND(ACTIVIDADES!$H65&lt;=P$4,ACTIVIDADES!$I65&gt;=P$4),"·","")))</f>
        <v/>
      </c>
      <c r="R65" s="8" t="str">
        <f>IF(OR(ACTIVIDADES!$I65="",Q$4=""),"",IF(ACTIVIDADES!$I65=Q$4,"●",IF(AND(ACTIVIDADES!$H65&lt;=Q$4,ACTIVIDADES!$I65&gt;=Q$4),"·","")))</f>
        <v/>
      </c>
      <c r="S65" s="8" t="str">
        <f>IF(OR(ACTIVIDADES!$I65="",R$4=""),"",IF(ACTIVIDADES!$I65=R$4,"●",IF(AND(ACTIVIDADES!$H65&lt;=R$4,ACTIVIDADES!$I65&gt;=R$4),"·","")))</f>
        <v/>
      </c>
      <c r="T65" s="8" t="str">
        <f>IF(OR(ACTIVIDADES!$I65="",S$4=""),"",IF(ACTIVIDADES!$I65=S$4,"●",IF(AND(ACTIVIDADES!$H65&lt;=S$4,ACTIVIDADES!$I65&gt;=S$4),"·","")))</f>
        <v/>
      </c>
      <c r="U65" s="8" t="str">
        <f>IF(OR(ACTIVIDADES!$I65="",T$4=""),"",IF(ACTIVIDADES!$I65=T$4,"●",IF(AND(ACTIVIDADES!$H65&lt;=T$4,ACTIVIDADES!$I65&gt;=T$4),"·","")))</f>
        <v/>
      </c>
      <c r="V65" s="8" t="str">
        <f>IF(OR(ACTIVIDADES!$I65="",U$4=""),"",IF(ACTIVIDADES!$I65=U$4,"●",IF(AND(ACTIVIDADES!$H65&lt;=U$4,ACTIVIDADES!$I65&gt;=U$4),"·","")))</f>
        <v/>
      </c>
      <c r="W65" s="8" t="str">
        <f>IF(OR(ACTIVIDADES!$I65="",V$4=""),"",IF(ACTIVIDADES!$I65=V$4,"●",IF(AND(ACTIVIDADES!$H65&lt;=V$4,ACTIVIDADES!$I65&gt;=V$4),"·","")))</f>
        <v/>
      </c>
      <c r="X65" s="8" t="str">
        <f>IF(OR(ACTIVIDADES!$I65="",W$4=""),"",IF(ACTIVIDADES!$I65=W$4,"●",IF(AND(ACTIVIDADES!$H65&lt;=W$4,ACTIVIDADES!$I65&gt;=W$4),"·","")))</f>
        <v/>
      </c>
      <c r="Y65" s="8" t="str">
        <f>IF(OR(ACTIVIDADES!$I65="",X$4=""),"",IF(ACTIVIDADES!$I65=X$4,"●",IF(AND(ACTIVIDADES!$H65&lt;=X$4,ACTIVIDADES!$I65&gt;=X$4),"·","")))</f>
        <v/>
      </c>
      <c r="Z65" s="8" t="str">
        <f>IF(OR(ACTIVIDADES!$I65="",Y$4=""),"",IF(ACTIVIDADES!$I65=Y$4,"●",IF(AND(ACTIVIDADES!$H65&lt;=Y$4,ACTIVIDADES!$I65&gt;=Y$4),"·","")))</f>
        <v/>
      </c>
      <c r="AA65" s="8" t="str">
        <f>IF(OR(ACTIVIDADES!$I65="",Z$4=""),"",IF(ACTIVIDADES!$I65=Z$4,"●",IF(AND(ACTIVIDADES!$H65&lt;=Z$4,ACTIVIDADES!$I65&gt;=Z$4),"·","")))</f>
        <v/>
      </c>
      <c r="AB65" s="8" t="str">
        <f>IF(OR(ACTIVIDADES!$I65="",AA$4=""),"",IF(ACTIVIDADES!$I65=AA$4,"●",IF(AND(ACTIVIDADES!$H65&lt;=AA$4,ACTIVIDADES!$I65&gt;=AA$4),"·","")))</f>
        <v/>
      </c>
      <c r="AC65" s="8" t="str">
        <f>IF(OR(ACTIVIDADES!$I65="",AB$4=""),"",IF(ACTIVIDADES!$I65=AB$4,"●",IF(AND(ACTIVIDADES!$H65&lt;=AB$4,ACTIVIDADES!$I65&gt;=AB$4),"·","")))</f>
        <v/>
      </c>
      <c r="AD65" s="8" t="str">
        <f>IF(OR(ACTIVIDADES!$I65="",AC$4=""),"",IF(ACTIVIDADES!$I65=AC$4,"●",IF(AND(ACTIVIDADES!$H65&lt;=AC$4,ACTIVIDADES!$I65&gt;=AC$4),"·","")))</f>
        <v/>
      </c>
      <c r="AE65" s="8" t="str">
        <f>IF(OR(ACTIVIDADES!$I65="",AD$4=""),"",IF(ACTIVIDADES!$I65=AD$4,"●",IF(AND(ACTIVIDADES!$H65&lt;=AD$4,ACTIVIDADES!$I65&gt;=AD$4),"·","")))</f>
        <v/>
      </c>
      <c r="AF65" s="8" t="str">
        <f>IF(OR(ACTIVIDADES!$I65="",AE$4=""),"",IF(ACTIVIDADES!$I65=AE$4,"●",IF(AND(ACTIVIDADES!$H65&lt;=AE$4,ACTIVIDADES!$I65&gt;=AE$4),"·","")))</f>
        <v/>
      </c>
      <c r="AG65" s="8" t="str">
        <f>IF(OR(ACTIVIDADES!$I65="",AF$4=""),"",IF(ACTIVIDADES!$I65=AF$4,"●",IF(AND(ACTIVIDADES!$H65&lt;=AF$4,ACTIVIDADES!$I65&gt;=AF$4),"·","")))</f>
        <v/>
      </c>
      <c r="AH65" s="8" t="str">
        <f>IF(OR(ACTIVIDADES!$I65="",AG$4=""),"",IF(ACTIVIDADES!$I65=AG$4,"●",IF(AND(ACTIVIDADES!$H65&lt;=AG$4,ACTIVIDADES!$I65&gt;=AG$4),"·","")))</f>
        <v/>
      </c>
      <c r="AI65" s="8" t="str">
        <f>IF(OR(ACTIVIDADES!$I65="",AH$4=""),"",IF(ACTIVIDADES!$I65=AH$4,"●",IF(AND(ACTIVIDADES!$H65&lt;=AH$4,ACTIVIDADES!$I65&gt;=AH$4),"·","")))</f>
        <v/>
      </c>
      <c r="AJ65" t="str">
        <f>IF(ACTIVIDADES!K65="","",ACTIVIDADES!K65)</f>
        <v>Pendiente</v>
      </c>
    </row>
    <row r="66" spans="1:36">
      <c r="A66" t="str">
        <f>IF(ACTIVIDADES!A66="","",ACTIVIDADES!A66)</f>
        <v>EX.06</v>
      </c>
      <c r="B66" t="str">
        <f>IF(ACTIVIDADES!B66="","",ACTIVIDADES!B66)</f>
        <v/>
      </c>
      <c r="C66" t="str">
        <f>IF(ACTIVIDADES!C66="","",ACTIVIDADES!C66)</f>
        <v>No planificada</v>
      </c>
      <c r="D66" t="str">
        <f>IF(ACTIVIDADES!D66="","",ACTIVIDADES!D66)</f>
        <v/>
      </c>
      <c r="E66" s="8" t="str">
        <f>IF(OR(ACTIVIDADES!$I66="",D$4=""),"",IF(ACTIVIDADES!$I66=D$4,"●",IF(AND(ACTIVIDADES!$H66&lt;=D$4,ACTIVIDADES!$I66&gt;=D$4),"·","")))</f>
        <v/>
      </c>
      <c r="F66" s="8" t="str">
        <f>IF(OR(ACTIVIDADES!$I66="",E$4=""),"",IF(ACTIVIDADES!$I66=E$4,"●",IF(AND(ACTIVIDADES!$H66&lt;=E$4,ACTIVIDADES!$I66&gt;=E$4),"·","")))</f>
        <v/>
      </c>
      <c r="G66" s="8" t="str">
        <f>IF(OR(ACTIVIDADES!$I66="",F$4=""),"",IF(ACTIVIDADES!$I66=F$4,"●",IF(AND(ACTIVIDADES!$H66&lt;=F$4,ACTIVIDADES!$I66&gt;=F$4),"·","")))</f>
        <v/>
      </c>
      <c r="H66" s="8" t="str">
        <f>IF(OR(ACTIVIDADES!$I66="",G$4=""),"",IF(ACTIVIDADES!$I66=G$4,"●",IF(AND(ACTIVIDADES!$H66&lt;=G$4,ACTIVIDADES!$I66&gt;=G$4),"·","")))</f>
        <v/>
      </c>
      <c r="I66" s="8" t="str">
        <f>IF(OR(ACTIVIDADES!$I66="",H$4=""),"",IF(ACTIVIDADES!$I66=H$4,"●",IF(AND(ACTIVIDADES!$H66&lt;=H$4,ACTIVIDADES!$I66&gt;=H$4),"·","")))</f>
        <v/>
      </c>
      <c r="J66" s="8" t="str">
        <f>IF(OR(ACTIVIDADES!$I66="",I$4=""),"",IF(ACTIVIDADES!$I66=I$4,"●",IF(AND(ACTIVIDADES!$H66&lt;=I$4,ACTIVIDADES!$I66&gt;=I$4),"·","")))</f>
        <v/>
      </c>
      <c r="K66" s="8" t="str">
        <f>IF(OR(ACTIVIDADES!$I66="",J$4=""),"",IF(ACTIVIDADES!$I66=J$4,"●",IF(AND(ACTIVIDADES!$H66&lt;=J$4,ACTIVIDADES!$I66&gt;=J$4),"·","")))</f>
        <v/>
      </c>
      <c r="L66" s="8" t="str">
        <f>IF(OR(ACTIVIDADES!$I66="",K$4=""),"",IF(ACTIVIDADES!$I66=K$4,"●",IF(AND(ACTIVIDADES!$H66&lt;=K$4,ACTIVIDADES!$I66&gt;=K$4),"·","")))</f>
        <v/>
      </c>
      <c r="M66" s="8" t="str">
        <f>IF(OR(ACTIVIDADES!$I66="",L$4=""),"",IF(ACTIVIDADES!$I66=L$4,"●",IF(AND(ACTIVIDADES!$H66&lt;=L$4,ACTIVIDADES!$I66&gt;=L$4),"·","")))</f>
        <v/>
      </c>
      <c r="N66" s="8" t="str">
        <f>IF(OR(ACTIVIDADES!$I66="",M$4=""),"",IF(ACTIVIDADES!$I66=M$4,"●",IF(AND(ACTIVIDADES!$H66&lt;=M$4,ACTIVIDADES!$I66&gt;=M$4),"·","")))</f>
        <v/>
      </c>
      <c r="O66" s="8" t="str">
        <f>IF(OR(ACTIVIDADES!$I66="",N$4=""),"",IF(ACTIVIDADES!$I66=N$4,"●",IF(AND(ACTIVIDADES!$H66&lt;=N$4,ACTIVIDADES!$I66&gt;=N$4),"·","")))</f>
        <v/>
      </c>
      <c r="P66" s="8" t="str">
        <f>IF(OR(ACTIVIDADES!$I66="",O$4=""),"",IF(ACTIVIDADES!$I66=O$4,"●",IF(AND(ACTIVIDADES!$H66&lt;=O$4,ACTIVIDADES!$I66&gt;=O$4),"·","")))</f>
        <v/>
      </c>
      <c r="Q66" s="8" t="str">
        <f>IF(OR(ACTIVIDADES!$I66="",P$4=""),"",IF(ACTIVIDADES!$I66=P$4,"●",IF(AND(ACTIVIDADES!$H66&lt;=P$4,ACTIVIDADES!$I66&gt;=P$4),"·","")))</f>
        <v/>
      </c>
      <c r="R66" s="8" t="str">
        <f>IF(OR(ACTIVIDADES!$I66="",Q$4=""),"",IF(ACTIVIDADES!$I66=Q$4,"●",IF(AND(ACTIVIDADES!$H66&lt;=Q$4,ACTIVIDADES!$I66&gt;=Q$4),"·","")))</f>
        <v/>
      </c>
      <c r="S66" s="8" t="str">
        <f>IF(OR(ACTIVIDADES!$I66="",R$4=""),"",IF(ACTIVIDADES!$I66=R$4,"●",IF(AND(ACTIVIDADES!$H66&lt;=R$4,ACTIVIDADES!$I66&gt;=R$4),"·","")))</f>
        <v/>
      </c>
      <c r="T66" s="8" t="str">
        <f>IF(OR(ACTIVIDADES!$I66="",S$4=""),"",IF(ACTIVIDADES!$I66=S$4,"●",IF(AND(ACTIVIDADES!$H66&lt;=S$4,ACTIVIDADES!$I66&gt;=S$4),"·","")))</f>
        <v/>
      </c>
      <c r="U66" s="8" t="str">
        <f>IF(OR(ACTIVIDADES!$I66="",T$4=""),"",IF(ACTIVIDADES!$I66=T$4,"●",IF(AND(ACTIVIDADES!$H66&lt;=T$4,ACTIVIDADES!$I66&gt;=T$4),"·","")))</f>
        <v/>
      </c>
      <c r="V66" s="8" t="str">
        <f>IF(OR(ACTIVIDADES!$I66="",U$4=""),"",IF(ACTIVIDADES!$I66=U$4,"●",IF(AND(ACTIVIDADES!$H66&lt;=U$4,ACTIVIDADES!$I66&gt;=U$4),"·","")))</f>
        <v/>
      </c>
      <c r="W66" s="8" t="str">
        <f>IF(OR(ACTIVIDADES!$I66="",V$4=""),"",IF(ACTIVIDADES!$I66=V$4,"●",IF(AND(ACTIVIDADES!$H66&lt;=V$4,ACTIVIDADES!$I66&gt;=V$4),"·","")))</f>
        <v/>
      </c>
      <c r="X66" s="8" t="str">
        <f>IF(OR(ACTIVIDADES!$I66="",W$4=""),"",IF(ACTIVIDADES!$I66=W$4,"●",IF(AND(ACTIVIDADES!$H66&lt;=W$4,ACTIVIDADES!$I66&gt;=W$4),"·","")))</f>
        <v/>
      </c>
      <c r="Y66" s="8" t="str">
        <f>IF(OR(ACTIVIDADES!$I66="",X$4=""),"",IF(ACTIVIDADES!$I66=X$4,"●",IF(AND(ACTIVIDADES!$H66&lt;=X$4,ACTIVIDADES!$I66&gt;=X$4),"·","")))</f>
        <v/>
      </c>
      <c r="Z66" s="8" t="str">
        <f>IF(OR(ACTIVIDADES!$I66="",Y$4=""),"",IF(ACTIVIDADES!$I66=Y$4,"●",IF(AND(ACTIVIDADES!$H66&lt;=Y$4,ACTIVIDADES!$I66&gt;=Y$4),"·","")))</f>
        <v/>
      </c>
      <c r="AA66" s="8" t="str">
        <f>IF(OR(ACTIVIDADES!$I66="",Z$4=""),"",IF(ACTIVIDADES!$I66=Z$4,"●",IF(AND(ACTIVIDADES!$H66&lt;=Z$4,ACTIVIDADES!$I66&gt;=Z$4),"·","")))</f>
        <v/>
      </c>
      <c r="AB66" s="8" t="str">
        <f>IF(OR(ACTIVIDADES!$I66="",AA$4=""),"",IF(ACTIVIDADES!$I66=AA$4,"●",IF(AND(ACTIVIDADES!$H66&lt;=AA$4,ACTIVIDADES!$I66&gt;=AA$4),"·","")))</f>
        <v/>
      </c>
      <c r="AC66" s="8" t="str">
        <f>IF(OR(ACTIVIDADES!$I66="",AB$4=""),"",IF(ACTIVIDADES!$I66=AB$4,"●",IF(AND(ACTIVIDADES!$H66&lt;=AB$4,ACTIVIDADES!$I66&gt;=AB$4),"·","")))</f>
        <v/>
      </c>
      <c r="AD66" s="8" t="str">
        <f>IF(OR(ACTIVIDADES!$I66="",AC$4=""),"",IF(ACTIVIDADES!$I66=AC$4,"●",IF(AND(ACTIVIDADES!$H66&lt;=AC$4,ACTIVIDADES!$I66&gt;=AC$4),"·","")))</f>
        <v/>
      </c>
      <c r="AE66" s="8" t="str">
        <f>IF(OR(ACTIVIDADES!$I66="",AD$4=""),"",IF(ACTIVIDADES!$I66=AD$4,"●",IF(AND(ACTIVIDADES!$H66&lt;=AD$4,ACTIVIDADES!$I66&gt;=AD$4),"·","")))</f>
        <v/>
      </c>
      <c r="AF66" s="8" t="str">
        <f>IF(OR(ACTIVIDADES!$I66="",AE$4=""),"",IF(ACTIVIDADES!$I66=AE$4,"●",IF(AND(ACTIVIDADES!$H66&lt;=AE$4,ACTIVIDADES!$I66&gt;=AE$4),"·","")))</f>
        <v/>
      </c>
      <c r="AG66" s="8" t="str">
        <f>IF(OR(ACTIVIDADES!$I66="",AF$4=""),"",IF(ACTIVIDADES!$I66=AF$4,"●",IF(AND(ACTIVIDADES!$H66&lt;=AF$4,ACTIVIDADES!$I66&gt;=AF$4),"·","")))</f>
        <v/>
      </c>
      <c r="AH66" s="8" t="str">
        <f>IF(OR(ACTIVIDADES!$I66="",AG$4=""),"",IF(ACTIVIDADES!$I66=AG$4,"●",IF(AND(ACTIVIDADES!$H66&lt;=AG$4,ACTIVIDADES!$I66&gt;=AG$4),"·","")))</f>
        <v/>
      </c>
      <c r="AI66" s="8" t="str">
        <f>IF(OR(ACTIVIDADES!$I66="",AH$4=""),"",IF(ACTIVIDADES!$I66=AH$4,"●",IF(AND(ACTIVIDADES!$H66&lt;=AH$4,ACTIVIDADES!$I66&gt;=AH$4),"·","")))</f>
        <v/>
      </c>
      <c r="AJ66" t="str">
        <f>IF(ACTIVIDADES!K66="","",ACTIVIDADES!K66)</f>
        <v>Pendiente</v>
      </c>
    </row>
    <row r="67" spans="1:36">
      <c r="A67" t="str">
        <f>IF(ACTIVIDADES!A67="","",ACTIVIDADES!A67)</f>
        <v>EX.07</v>
      </c>
      <c r="B67" t="str">
        <f>IF(ACTIVIDADES!B67="","",ACTIVIDADES!B67)</f>
        <v/>
      </c>
      <c r="C67" t="str">
        <f>IF(ACTIVIDADES!C67="","",ACTIVIDADES!C67)</f>
        <v>Extraordinaria</v>
      </c>
      <c r="D67" t="str">
        <f>IF(ACTIVIDADES!D67="","",ACTIVIDADES!D67)</f>
        <v/>
      </c>
      <c r="E67" s="8" t="str">
        <f>IF(OR(ACTIVIDADES!$I67="",D$4=""),"",IF(ACTIVIDADES!$I67=D$4,"●",IF(AND(ACTIVIDADES!$H67&lt;=D$4,ACTIVIDADES!$I67&gt;=D$4),"·","")))</f>
        <v/>
      </c>
      <c r="F67" s="8" t="str">
        <f>IF(OR(ACTIVIDADES!$I67="",E$4=""),"",IF(ACTIVIDADES!$I67=E$4,"●",IF(AND(ACTIVIDADES!$H67&lt;=E$4,ACTIVIDADES!$I67&gt;=E$4),"·","")))</f>
        <v/>
      </c>
      <c r="G67" s="8" t="str">
        <f>IF(OR(ACTIVIDADES!$I67="",F$4=""),"",IF(ACTIVIDADES!$I67=F$4,"●",IF(AND(ACTIVIDADES!$H67&lt;=F$4,ACTIVIDADES!$I67&gt;=F$4),"·","")))</f>
        <v/>
      </c>
      <c r="H67" s="8" t="str">
        <f>IF(OR(ACTIVIDADES!$I67="",G$4=""),"",IF(ACTIVIDADES!$I67=G$4,"●",IF(AND(ACTIVIDADES!$H67&lt;=G$4,ACTIVIDADES!$I67&gt;=G$4),"·","")))</f>
        <v/>
      </c>
      <c r="I67" s="8" t="str">
        <f>IF(OR(ACTIVIDADES!$I67="",H$4=""),"",IF(ACTIVIDADES!$I67=H$4,"●",IF(AND(ACTIVIDADES!$H67&lt;=H$4,ACTIVIDADES!$I67&gt;=H$4),"·","")))</f>
        <v/>
      </c>
      <c r="J67" s="8" t="str">
        <f>IF(OR(ACTIVIDADES!$I67="",I$4=""),"",IF(ACTIVIDADES!$I67=I$4,"●",IF(AND(ACTIVIDADES!$H67&lt;=I$4,ACTIVIDADES!$I67&gt;=I$4),"·","")))</f>
        <v/>
      </c>
      <c r="K67" s="8" t="str">
        <f>IF(OR(ACTIVIDADES!$I67="",J$4=""),"",IF(ACTIVIDADES!$I67=J$4,"●",IF(AND(ACTIVIDADES!$H67&lt;=J$4,ACTIVIDADES!$I67&gt;=J$4),"·","")))</f>
        <v/>
      </c>
      <c r="L67" s="8" t="str">
        <f>IF(OR(ACTIVIDADES!$I67="",K$4=""),"",IF(ACTIVIDADES!$I67=K$4,"●",IF(AND(ACTIVIDADES!$H67&lt;=K$4,ACTIVIDADES!$I67&gt;=K$4),"·","")))</f>
        <v/>
      </c>
      <c r="M67" s="8" t="str">
        <f>IF(OR(ACTIVIDADES!$I67="",L$4=""),"",IF(ACTIVIDADES!$I67=L$4,"●",IF(AND(ACTIVIDADES!$H67&lt;=L$4,ACTIVIDADES!$I67&gt;=L$4),"·","")))</f>
        <v/>
      </c>
      <c r="N67" s="8" t="str">
        <f>IF(OR(ACTIVIDADES!$I67="",M$4=""),"",IF(ACTIVIDADES!$I67=M$4,"●",IF(AND(ACTIVIDADES!$H67&lt;=M$4,ACTIVIDADES!$I67&gt;=M$4),"·","")))</f>
        <v/>
      </c>
      <c r="O67" s="8" t="str">
        <f>IF(OR(ACTIVIDADES!$I67="",N$4=""),"",IF(ACTIVIDADES!$I67=N$4,"●",IF(AND(ACTIVIDADES!$H67&lt;=N$4,ACTIVIDADES!$I67&gt;=N$4),"·","")))</f>
        <v/>
      </c>
      <c r="P67" s="8" t="str">
        <f>IF(OR(ACTIVIDADES!$I67="",O$4=""),"",IF(ACTIVIDADES!$I67=O$4,"●",IF(AND(ACTIVIDADES!$H67&lt;=O$4,ACTIVIDADES!$I67&gt;=O$4),"·","")))</f>
        <v/>
      </c>
      <c r="Q67" s="8" t="str">
        <f>IF(OR(ACTIVIDADES!$I67="",P$4=""),"",IF(ACTIVIDADES!$I67=P$4,"●",IF(AND(ACTIVIDADES!$H67&lt;=P$4,ACTIVIDADES!$I67&gt;=P$4),"·","")))</f>
        <v/>
      </c>
      <c r="R67" s="8" t="str">
        <f>IF(OR(ACTIVIDADES!$I67="",Q$4=""),"",IF(ACTIVIDADES!$I67=Q$4,"●",IF(AND(ACTIVIDADES!$H67&lt;=Q$4,ACTIVIDADES!$I67&gt;=Q$4),"·","")))</f>
        <v/>
      </c>
      <c r="S67" s="8" t="str">
        <f>IF(OR(ACTIVIDADES!$I67="",R$4=""),"",IF(ACTIVIDADES!$I67=R$4,"●",IF(AND(ACTIVIDADES!$H67&lt;=R$4,ACTIVIDADES!$I67&gt;=R$4),"·","")))</f>
        <v/>
      </c>
      <c r="T67" s="8" t="str">
        <f>IF(OR(ACTIVIDADES!$I67="",S$4=""),"",IF(ACTIVIDADES!$I67=S$4,"●",IF(AND(ACTIVIDADES!$H67&lt;=S$4,ACTIVIDADES!$I67&gt;=S$4),"·","")))</f>
        <v/>
      </c>
      <c r="U67" s="8" t="str">
        <f>IF(OR(ACTIVIDADES!$I67="",T$4=""),"",IF(ACTIVIDADES!$I67=T$4,"●",IF(AND(ACTIVIDADES!$H67&lt;=T$4,ACTIVIDADES!$I67&gt;=T$4),"·","")))</f>
        <v/>
      </c>
      <c r="V67" s="8" t="str">
        <f>IF(OR(ACTIVIDADES!$I67="",U$4=""),"",IF(ACTIVIDADES!$I67=U$4,"●",IF(AND(ACTIVIDADES!$H67&lt;=U$4,ACTIVIDADES!$I67&gt;=U$4),"·","")))</f>
        <v/>
      </c>
      <c r="W67" s="8" t="str">
        <f>IF(OR(ACTIVIDADES!$I67="",V$4=""),"",IF(ACTIVIDADES!$I67=V$4,"●",IF(AND(ACTIVIDADES!$H67&lt;=V$4,ACTIVIDADES!$I67&gt;=V$4),"·","")))</f>
        <v/>
      </c>
      <c r="X67" s="8" t="str">
        <f>IF(OR(ACTIVIDADES!$I67="",W$4=""),"",IF(ACTIVIDADES!$I67=W$4,"●",IF(AND(ACTIVIDADES!$H67&lt;=W$4,ACTIVIDADES!$I67&gt;=W$4),"·","")))</f>
        <v/>
      </c>
      <c r="Y67" s="8" t="str">
        <f>IF(OR(ACTIVIDADES!$I67="",X$4=""),"",IF(ACTIVIDADES!$I67=X$4,"●",IF(AND(ACTIVIDADES!$H67&lt;=X$4,ACTIVIDADES!$I67&gt;=X$4),"·","")))</f>
        <v/>
      </c>
      <c r="Z67" s="8" t="str">
        <f>IF(OR(ACTIVIDADES!$I67="",Y$4=""),"",IF(ACTIVIDADES!$I67=Y$4,"●",IF(AND(ACTIVIDADES!$H67&lt;=Y$4,ACTIVIDADES!$I67&gt;=Y$4),"·","")))</f>
        <v/>
      </c>
      <c r="AA67" s="8" t="str">
        <f>IF(OR(ACTIVIDADES!$I67="",Z$4=""),"",IF(ACTIVIDADES!$I67=Z$4,"●",IF(AND(ACTIVIDADES!$H67&lt;=Z$4,ACTIVIDADES!$I67&gt;=Z$4),"·","")))</f>
        <v/>
      </c>
      <c r="AB67" s="8" t="str">
        <f>IF(OR(ACTIVIDADES!$I67="",AA$4=""),"",IF(ACTIVIDADES!$I67=AA$4,"●",IF(AND(ACTIVIDADES!$H67&lt;=AA$4,ACTIVIDADES!$I67&gt;=AA$4),"·","")))</f>
        <v/>
      </c>
      <c r="AC67" s="8" t="str">
        <f>IF(OR(ACTIVIDADES!$I67="",AB$4=""),"",IF(ACTIVIDADES!$I67=AB$4,"●",IF(AND(ACTIVIDADES!$H67&lt;=AB$4,ACTIVIDADES!$I67&gt;=AB$4),"·","")))</f>
        <v/>
      </c>
      <c r="AD67" s="8" t="str">
        <f>IF(OR(ACTIVIDADES!$I67="",AC$4=""),"",IF(ACTIVIDADES!$I67=AC$4,"●",IF(AND(ACTIVIDADES!$H67&lt;=AC$4,ACTIVIDADES!$I67&gt;=AC$4),"·","")))</f>
        <v/>
      </c>
      <c r="AE67" s="8" t="str">
        <f>IF(OR(ACTIVIDADES!$I67="",AD$4=""),"",IF(ACTIVIDADES!$I67=AD$4,"●",IF(AND(ACTIVIDADES!$H67&lt;=AD$4,ACTIVIDADES!$I67&gt;=AD$4),"·","")))</f>
        <v/>
      </c>
      <c r="AF67" s="8" t="str">
        <f>IF(OR(ACTIVIDADES!$I67="",AE$4=""),"",IF(ACTIVIDADES!$I67=AE$4,"●",IF(AND(ACTIVIDADES!$H67&lt;=AE$4,ACTIVIDADES!$I67&gt;=AE$4),"·","")))</f>
        <v/>
      </c>
      <c r="AG67" s="8" t="str">
        <f>IF(OR(ACTIVIDADES!$I67="",AF$4=""),"",IF(ACTIVIDADES!$I67=AF$4,"●",IF(AND(ACTIVIDADES!$H67&lt;=AF$4,ACTIVIDADES!$I67&gt;=AF$4),"·","")))</f>
        <v/>
      </c>
      <c r="AH67" s="8" t="str">
        <f>IF(OR(ACTIVIDADES!$I67="",AG$4=""),"",IF(ACTIVIDADES!$I67=AG$4,"●",IF(AND(ACTIVIDADES!$H67&lt;=AG$4,ACTIVIDADES!$I67&gt;=AG$4),"·","")))</f>
        <v/>
      </c>
      <c r="AI67" s="8" t="str">
        <f>IF(OR(ACTIVIDADES!$I67="",AH$4=""),"",IF(ACTIVIDADES!$I67=AH$4,"●",IF(AND(ACTIVIDADES!$H67&lt;=AH$4,ACTIVIDADES!$I67&gt;=AH$4),"·","")))</f>
        <v/>
      </c>
      <c r="AJ67" t="str">
        <f>IF(ACTIVIDADES!K67="","",ACTIVIDADES!K67)</f>
        <v>Pendiente</v>
      </c>
    </row>
    <row r="68" spans="1:36">
      <c r="A68" t="str">
        <f>IF(ACTIVIDADES!A68="","",ACTIVIDADES!A68)</f>
        <v>EX.08</v>
      </c>
      <c r="B68" t="str">
        <f>IF(ACTIVIDADES!B68="","",ACTIVIDADES!B68)</f>
        <v/>
      </c>
      <c r="C68" t="str">
        <f>IF(ACTIVIDADES!C68="","",ACTIVIDADES!C68)</f>
        <v>No planificada</v>
      </c>
      <c r="D68" t="str">
        <f>IF(ACTIVIDADES!D68="","",ACTIVIDADES!D68)</f>
        <v/>
      </c>
      <c r="E68" s="8" t="str">
        <f>IF(OR(ACTIVIDADES!$I68="",D$4=""),"",IF(ACTIVIDADES!$I68=D$4,"●",IF(AND(ACTIVIDADES!$H68&lt;=D$4,ACTIVIDADES!$I68&gt;=D$4),"·","")))</f>
        <v/>
      </c>
      <c r="F68" s="8" t="str">
        <f>IF(OR(ACTIVIDADES!$I68="",E$4=""),"",IF(ACTIVIDADES!$I68=E$4,"●",IF(AND(ACTIVIDADES!$H68&lt;=E$4,ACTIVIDADES!$I68&gt;=E$4),"·","")))</f>
        <v/>
      </c>
      <c r="G68" s="8" t="str">
        <f>IF(OR(ACTIVIDADES!$I68="",F$4=""),"",IF(ACTIVIDADES!$I68=F$4,"●",IF(AND(ACTIVIDADES!$H68&lt;=F$4,ACTIVIDADES!$I68&gt;=F$4),"·","")))</f>
        <v/>
      </c>
      <c r="H68" s="8" t="str">
        <f>IF(OR(ACTIVIDADES!$I68="",G$4=""),"",IF(ACTIVIDADES!$I68=G$4,"●",IF(AND(ACTIVIDADES!$H68&lt;=G$4,ACTIVIDADES!$I68&gt;=G$4),"·","")))</f>
        <v/>
      </c>
      <c r="I68" s="8" t="str">
        <f>IF(OR(ACTIVIDADES!$I68="",H$4=""),"",IF(ACTIVIDADES!$I68=H$4,"●",IF(AND(ACTIVIDADES!$H68&lt;=H$4,ACTIVIDADES!$I68&gt;=H$4),"·","")))</f>
        <v/>
      </c>
      <c r="J68" s="8" t="str">
        <f>IF(OR(ACTIVIDADES!$I68="",I$4=""),"",IF(ACTIVIDADES!$I68=I$4,"●",IF(AND(ACTIVIDADES!$H68&lt;=I$4,ACTIVIDADES!$I68&gt;=I$4),"·","")))</f>
        <v/>
      </c>
      <c r="K68" s="8" t="str">
        <f>IF(OR(ACTIVIDADES!$I68="",J$4=""),"",IF(ACTIVIDADES!$I68=J$4,"●",IF(AND(ACTIVIDADES!$H68&lt;=J$4,ACTIVIDADES!$I68&gt;=J$4),"·","")))</f>
        <v/>
      </c>
      <c r="L68" s="8" t="str">
        <f>IF(OR(ACTIVIDADES!$I68="",K$4=""),"",IF(ACTIVIDADES!$I68=K$4,"●",IF(AND(ACTIVIDADES!$H68&lt;=K$4,ACTIVIDADES!$I68&gt;=K$4),"·","")))</f>
        <v/>
      </c>
      <c r="M68" s="8" t="str">
        <f>IF(OR(ACTIVIDADES!$I68="",L$4=""),"",IF(ACTIVIDADES!$I68=L$4,"●",IF(AND(ACTIVIDADES!$H68&lt;=L$4,ACTIVIDADES!$I68&gt;=L$4),"·","")))</f>
        <v/>
      </c>
      <c r="N68" s="8" t="str">
        <f>IF(OR(ACTIVIDADES!$I68="",M$4=""),"",IF(ACTIVIDADES!$I68=M$4,"●",IF(AND(ACTIVIDADES!$H68&lt;=M$4,ACTIVIDADES!$I68&gt;=M$4),"·","")))</f>
        <v/>
      </c>
      <c r="O68" s="8" t="str">
        <f>IF(OR(ACTIVIDADES!$I68="",N$4=""),"",IF(ACTIVIDADES!$I68=N$4,"●",IF(AND(ACTIVIDADES!$H68&lt;=N$4,ACTIVIDADES!$I68&gt;=N$4),"·","")))</f>
        <v/>
      </c>
      <c r="P68" s="8" t="str">
        <f>IF(OR(ACTIVIDADES!$I68="",O$4=""),"",IF(ACTIVIDADES!$I68=O$4,"●",IF(AND(ACTIVIDADES!$H68&lt;=O$4,ACTIVIDADES!$I68&gt;=O$4),"·","")))</f>
        <v/>
      </c>
      <c r="Q68" s="8" t="str">
        <f>IF(OR(ACTIVIDADES!$I68="",P$4=""),"",IF(ACTIVIDADES!$I68=P$4,"●",IF(AND(ACTIVIDADES!$H68&lt;=P$4,ACTIVIDADES!$I68&gt;=P$4),"·","")))</f>
        <v/>
      </c>
      <c r="R68" s="8" t="str">
        <f>IF(OR(ACTIVIDADES!$I68="",Q$4=""),"",IF(ACTIVIDADES!$I68=Q$4,"●",IF(AND(ACTIVIDADES!$H68&lt;=Q$4,ACTIVIDADES!$I68&gt;=Q$4),"·","")))</f>
        <v/>
      </c>
      <c r="S68" s="8" t="str">
        <f>IF(OR(ACTIVIDADES!$I68="",R$4=""),"",IF(ACTIVIDADES!$I68=R$4,"●",IF(AND(ACTIVIDADES!$H68&lt;=R$4,ACTIVIDADES!$I68&gt;=R$4),"·","")))</f>
        <v/>
      </c>
      <c r="T68" s="8" t="str">
        <f>IF(OR(ACTIVIDADES!$I68="",S$4=""),"",IF(ACTIVIDADES!$I68=S$4,"●",IF(AND(ACTIVIDADES!$H68&lt;=S$4,ACTIVIDADES!$I68&gt;=S$4),"·","")))</f>
        <v/>
      </c>
      <c r="U68" s="8" t="str">
        <f>IF(OR(ACTIVIDADES!$I68="",T$4=""),"",IF(ACTIVIDADES!$I68=T$4,"●",IF(AND(ACTIVIDADES!$H68&lt;=T$4,ACTIVIDADES!$I68&gt;=T$4),"·","")))</f>
        <v/>
      </c>
      <c r="V68" s="8" t="str">
        <f>IF(OR(ACTIVIDADES!$I68="",U$4=""),"",IF(ACTIVIDADES!$I68=U$4,"●",IF(AND(ACTIVIDADES!$H68&lt;=U$4,ACTIVIDADES!$I68&gt;=U$4),"·","")))</f>
        <v/>
      </c>
      <c r="W68" s="8" t="str">
        <f>IF(OR(ACTIVIDADES!$I68="",V$4=""),"",IF(ACTIVIDADES!$I68=V$4,"●",IF(AND(ACTIVIDADES!$H68&lt;=V$4,ACTIVIDADES!$I68&gt;=V$4),"·","")))</f>
        <v/>
      </c>
      <c r="X68" s="8" t="str">
        <f>IF(OR(ACTIVIDADES!$I68="",W$4=""),"",IF(ACTIVIDADES!$I68=W$4,"●",IF(AND(ACTIVIDADES!$H68&lt;=W$4,ACTIVIDADES!$I68&gt;=W$4),"·","")))</f>
        <v/>
      </c>
      <c r="Y68" s="8" t="str">
        <f>IF(OR(ACTIVIDADES!$I68="",X$4=""),"",IF(ACTIVIDADES!$I68=X$4,"●",IF(AND(ACTIVIDADES!$H68&lt;=X$4,ACTIVIDADES!$I68&gt;=X$4),"·","")))</f>
        <v/>
      </c>
      <c r="Z68" s="8" t="str">
        <f>IF(OR(ACTIVIDADES!$I68="",Y$4=""),"",IF(ACTIVIDADES!$I68=Y$4,"●",IF(AND(ACTIVIDADES!$H68&lt;=Y$4,ACTIVIDADES!$I68&gt;=Y$4),"·","")))</f>
        <v/>
      </c>
      <c r="AA68" s="8" t="str">
        <f>IF(OR(ACTIVIDADES!$I68="",Z$4=""),"",IF(ACTIVIDADES!$I68=Z$4,"●",IF(AND(ACTIVIDADES!$H68&lt;=Z$4,ACTIVIDADES!$I68&gt;=Z$4),"·","")))</f>
        <v/>
      </c>
      <c r="AB68" s="8" t="str">
        <f>IF(OR(ACTIVIDADES!$I68="",AA$4=""),"",IF(ACTIVIDADES!$I68=AA$4,"●",IF(AND(ACTIVIDADES!$H68&lt;=AA$4,ACTIVIDADES!$I68&gt;=AA$4),"·","")))</f>
        <v/>
      </c>
      <c r="AC68" s="8" t="str">
        <f>IF(OR(ACTIVIDADES!$I68="",AB$4=""),"",IF(ACTIVIDADES!$I68=AB$4,"●",IF(AND(ACTIVIDADES!$H68&lt;=AB$4,ACTIVIDADES!$I68&gt;=AB$4),"·","")))</f>
        <v/>
      </c>
      <c r="AD68" s="8" t="str">
        <f>IF(OR(ACTIVIDADES!$I68="",AC$4=""),"",IF(ACTIVIDADES!$I68=AC$4,"●",IF(AND(ACTIVIDADES!$H68&lt;=AC$4,ACTIVIDADES!$I68&gt;=AC$4),"·","")))</f>
        <v/>
      </c>
      <c r="AE68" s="8" t="str">
        <f>IF(OR(ACTIVIDADES!$I68="",AD$4=""),"",IF(ACTIVIDADES!$I68=AD$4,"●",IF(AND(ACTIVIDADES!$H68&lt;=AD$4,ACTIVIDADES!$I68&gt;=AD$4),"·","")))</f>
        <v/>
      </c>
      <c r="AF68" s="8" t="str">
        <f>IF(OR(ACTIVIDADES!$I68="",AE$4=""),"",IF(ACTIVIDADES!$I68=AE$4,"●",IF(AND(ACTIVIDADES!$H68&lt;=AE$4,ACTIVIDADES!$I68&gt;=AE$4),"·","")))</f>
        <v/>
      </c>
      <c r="AG68" s="8" t="str">
        <f>IF(OR(ACTIVIDADES!$I68="",AF$4=""),"",IF(ACTIVIDADES!$I68=AF$4,"●",IF(AND(ACTIVIDADES!$H68&lt;=AF$4,ACTIVIDADES!$I68&gt;=AF$4),"·","")))</f>
        <v/>
      </c>
      <c r="AH68" s="8" t="str">
        <f>IF(OR(ACTIVIDADES!$I68="",AG$4=""),"",IF(ACTIVIDADES!$I68=AG$4,"●",IF(AND(ACTIVIDADES!$H68&lt;=AG$4,ACTIVIDADES!$I68&gt;=AG$4),"·","")))</f>
        <v/>
      </c>
      <c r="AI68" s="8" t="str">
        <f>IF(OR(ACTIVIDADES!$I68="",AH$4=""),"",IF(ACTIVIDADES!$I68=AH$4,"●",IF(AND(ACTIVIDADES!$H68&lt;=AH$4,ACTIVIDADES!$I68&gt;=AH$4),"·","")))</f>
        <v/>
      </c>
      <c r="AJ68" t="str">
        <f>IF(ACTIVIDADES!K68="","",ACTIVIDADES!K68)</f>
        <v>Pendiente</v>
      </c>
    </row>
    <row r="69" spans="1:36">
      <c r="A69" t="str">
        <f>IF(ACTIVIDADES!A69="","",ACTIVIDADES!A69)</f>
        <v>EX.09</v>
      </c>
      <c r="B69" t="str">
        <f>IF(ACTIVIDADES!B69="","",ACTIVIDADES!B69)</f>
        <v/>
      </c>
      <c r="C69" t="str">
        <f>IF(ACTIVIDADES!C69="","",ACTIVIDADES!C69)</f>
        <v>Extraordinaria</v>
      </c>
      <c r="D69" t="str">
        <f>IF(ACTIVIDADES!D69="","",ACTIVIDADES!D69)</f>
        <v/>
      </c>
      <c r="E69" s="8" t="str">
        <f>IF(OR(ACTIVIDADES!$I69="",D$4=""),"",IF(ACTIVIDADES!$I69=D$4,"●",IF(AND(ACTIVIDADES!$H69&lt;=D$4,ACTIVIDADES!$I69&gt;=D$4),"·","")))</f>
        <v/>
      </c>
      <c r="F69" s="8" t="str">
        <f>IF(OR(ACTIVIDADES!$I69="",E$4=""),"",IF(ACTIVIDADES!$I69=E$4,"●",IF(AND(ACTIVIDADES!$H69&lt;=E$4,ACTIVIDADES!$I69&gt;=E$4),"·","")))</f>
        <v/>
      </c>
      <c r="G69" s="8" t="str">
        <f>IF(OR(ACTIVIDADES!$I69="",F$4=""),"",IF(ACTIVIDADES!$I69=F$4,"●",IF(AND(ACTIVIDADES!$H69&lt;=F$4,ACTIVIDADES!$I69&gt;=F$4),"·","")))</f>
        <v/>
      </c>
      <c r="H69" s="8" t="str">
        <f>IF(OR(ACTIVIDADES!$I69="",G$4=""),"",IF(ACTIVIDADES!$I69=G$4,"●",IF(AND(ACTIVIDADES!$H69&lt;=G$4,ACTIVIDADES!$I69&gt;=G$4),"·","")))</f>
        <v/>
      </c>
      <c r="I69" s="8" t="str">
        <f>IF(OR(ACTIVIDADES!$I69="",H$4=""),"",IF(ACTIVIDADES!$I69=H$4,"●",IF(AND(ACTIVIDADES!$H69&lt;=H$4,ACTIVIDADES!$I69&gt;=H$4),"·","")))</f>
        <v/>
      </c>
      <c r="J69" s="8" t="str">
        <f>IF(OR(ACTIVIDADES!$I69="",I$4=""),"",IF(ACTIVIDADES!$I69=I$4,"●",IF(AND(ACTIVIDADES!$H69&lt;=I$4,ACTIVIDADES!$I69&gt;=I$4),"·","")))</f>
        <v/>
      </c>
      <c r="K69" s="8" t="str">
        <f>IF(OR(ACTIVIDADES!$I69="",J$4=""),"",IF(ACTIVIDADES!$I69=J$4,"●",IF(AND(ACTIVIDADES!$H69&lt;=J$4,ACTIVIDADES!$I69&gt;=J$4),"·","")))</f>
        <v/>
      </c>
      <c r="L69" s="8" t="str">
        <f>IF(OR(ACTIVIDADES!$I69="",K$4=""),"",IF(ACTIVIDADES!$I69=K$4,"●",IF(AND(ACTIVIDADES!$H69&lt;=K$4,ACTIVIDADES!$I69&gt;=K$4),"·","")))</f>
        <v/>
      </c>
      <c r="M69" s="8" t="str">
        <f>IF(OR(ACTIVIDADES!$I69="",L$4=""),"",IF(ACTIVIDADES!$I69=L$4,"●",IF(AND(ACTIVIDADES!$H69&lt;=L$4,ACTIVIDADES!$I69&gt;=L$4),"·","")))</f>
        <v/>
      </c>
      <c r="N69" s="8" t="str">
        <f>IF(OR(ACTIVIDADES!$I69="",M$4=""),"",IF(ACTIVIDADES!$I69=M$4,"●",IF(AND(ACTIVIDADES!$H69&lt;=M$4,ACTIVIDADES!$I69&gt;=M$4),"·","")))</f>
        <v/>
      </c>
      <c r="O69" s="8" t="str">
        <f>IF(OR(ACTIVIDADES!$I69="",N$4=""),"",IF(ACTIVIDADES!$I69=N$4,"●",IF(AND(ACTIVIDADES!$H69&lt;=N$4,ACTIVIDADES!$I69&gt;=N$4),"·","")))</f>
        <v/>
      </c>
      <c r="P69" s="8" t="str">
        <f>IF(OR(ACTIVIDADES!$I69="",O$4=""),"",IF(ACTIVIDADES!$I69=O$4,"●",IF(AND(ACTIVIDADES!$H69&lt;=O$4,ACTIVIDADES!$I69&gt;=O$4),"·","")))</f>
        <v/>
      </c>
      <c r="Q69" s="8" t="str">
        <f>IF(OR(ACTIVIDADES!$I69="",P$4=""),"",IF(ACTIVIDADES!$I69=P$4,"●",IF(AND(ACTIVIDADES!$H69&lt;=P$4,ACTIVIDADES!$I69&gt;=P$4),"·","")))</f>
        <v/>
      </c>
      <c r="R69" s="8" t="str">
        <f>IF(OR(ACTIVIDADES!$I69="",Q$4=""),"",IF(ACTIVIDADES!$I69=Q$4,"●",IF(AND(ACTIVIDADES!$H69&lt;=Q$4,ACTIVIDADES!$I69&gt;=Q$4),"·","")))</f>
        <v/>
      </c>
      <c r="S69" s="8" t="str">
        <f>IF(OR(ACTIVIDADES!$I69="",R$4=""),"",IF(ACTIVIDADES!$I69=R$4,"●",IF(AND(ACTIVIDADES!$H69&lt;=R$4,ACTIVIDADES!$I69&gt;=R$4),"·","")))</f>
        <v/>
      </c>
      <c r="T69" s="8" t="str">
        <f>IF(OR(ACTIVIDADES!$I69="",S$4=""),"",IF(ACTIVIDADES!$I69=S$4,"●",IF(AND(ACTIVIDADES!$H69&lt;=S$4,ACTIVIDADES!$I69&gt;=S$4),"·","")))</f>
        <v/>
      </c>
      <c r="U69" s="8" t="str">
        <f>IF(OR(ACTIVIDADES!$I69="",T$4=""),"",IF(ACTIVIDADES!$I69=T$4,"●",IF(AND(ACTIVIDADES!$H69&lt;=T$4,ACTIVIDADES!$I69&gt;=T$4),"·","")))</f>
        <v/>
      </c>
      <c r="V69" s="8" t="str">
        <f>IF(OR(ACTIVIDADES!$I69="",U$4=""),"",IF(ACTIVIDADES!$I69=U$4,"●",IF(AND(ACTIVIDADES!$H69&lt;=U$4,ACTIVIDADES!$I69&gt;=U$4),"·","")))</f>
        <v/>
      </c>
      <c r="W69" s="8" t="str">
        <f>IF(OR(ACTIVIDADES!$I69="",V$4=""),"",IF(ACTIVIDADES!$I69=V$4,"●",IF(AND(ACTIVIDADES!$H69&lt;=V$4,ACTIVIDADES!$I69&gt;=V$4),"·","")))</f>
        <v/>
      </c>
      <c r="X69" s="8" t="str">
        <f>IF(OR(ACTIVIDADES!$I69="",W$4=""),"",IF(ACTIVIDADES!$I69=W$4,"●",IF(AND(ACTIVIDADES!$H69&lt;=W$4,ACTIVIDADES!$I69&gt;=W$4),"·","")))</f>
        <v/>
      </c>
      <c r="Y69" s="8" t="str">
        <f>IF(OR(ACTIVIDADES!$I69="",X$4=""),"",IF(ACTIVIDADES!$I69=X$4,"●",IF(AND(ACTIVIDADES!$H69&lt;=X$4,ACTIVIDADES!$I69&gt;=X$4),"·","")))</f>
        <v/>
      </c>
      <c r="Z69" s="8" t="str">
        <f>IF(OR(ACTIVIDADES!$I69="",Y$4=""),"",IF(ACTIVIDADES!$I69=Y$4,"●",IF(AND(ACTIVIDADES!$H69&lt;=Y$4,ACTIVIDADES!$I69&gt;=Y$4),"·","")))</f>
        <v/>
      </c>
      <c r="AA69" s="8" t="str">
        <f>IF(OR(ACTIVIDADES!$I69="",Z$4=""),"",IF(ACTIVIDADES!$I69=Z$4,"●",IF(AND(ACTIVIDADES!$H69&lt;=Z$4,ACTIVIDADES!$I69&gt;=Z$4),"·","")))</f>
        <v/>
      </c>
      <c r="AB69" s="8" t="str">
        <f>IF(OR(ACTIVIDADES!$I69="",AA$4=""),"",IF(ACTIVIDADES!$I69=AA$4,"●",IF(AND(ACTIVIDADES!$H69&lt;=AA$4,ACTIVIDADES!$I69&gt;=AA$4),"·","")))</f>
        <v/>
      </c>
      <c r="AC69" s="8" t="str">
        <f>IF(OR(ACTIVIDADES!$I69="",AB$4=""),"",IF(ACTIVIDADES!$I69=AB$4,"●",IF(AND(ACTIVIDADES!$H69&lt;=AB$4,ACTIVIDADES!$I69&gt;=AB$4),"·","")))</f>
        <v/>
      </c>
      <c r="AD69" s="8" t="str">
        <f>IF(OR(ACTIVIDADES!$I69="",AC$4=""),"",IF(ACTIVIDADES!$I69=AC$4,"●",IF(AND(ACTIVIDADES!$H69&lt;=AC$4,ACTIVIDADES!$I69&gt;=AC$4),"·","")))</f>
        <v/>
      </c>
      <c r="AE69" s="8" t="str">
        <f>IF(OR(ACTIVIDADES!$I69="",AD$4=""),"",IF(ACTIVIDADES!$I69=AD$4,"●",IF(AND(ACTIVIDADES!$H69&lt;=AD$4,ACTIVIDADES!$I69&gt;=AD$4),"·","")))</f>
        <v/>
      </c>
      <c r="AF69" s="8" t="str">
        <f>IF(OR(ACTIVIDADES!$I69="",AE$4=""),"",IF(ACTIVIDADES!$I69=AE$4,"●",IF(AND(ACTIVIDADES!$H69&lt;=AE$4,ACTIVIDADES!$I69&gt;=AE$4),"·","")))</f>
        <v/>
      </c>
      <c r="AG69" s="8" t="str">
        <f>IF(OR(ACTIVIDADES!$I69="",AF$4=""),"",IF(ACTIVIDADES!$I69=AF$4,"●",IF(AND(ACTIVIDADES!$H69&lt;=AF$4,ACTIVIDADES!$I69&gt;=AF$4),"·","")))</f>
        <v/>
      </c>
      <c r="AH69" s="8" t="str">
        <f>IF(OR(ACTIVIDADES!$I69="",AG$4=""),"",IF(ACTIVIDADES!$I69=AG$4,"●",IF(AND(ACTIVIDADES!$H69&lt;=AG$4,ACTIVIDADES!$I69&gt;=AG$4),"·","")))</f>
        <v/>
      </c>
      <c r="AI69" s="8" t="str">
        <f>IF(OR(ACTIVIDADES!$I69="",AH$4=""),"",IF(ACTIVIDADES!$I69=AH$4,"●",IF(AND(ACTIVIDADES!$H69&lt;=AH$4,ACTIVIDADES!$I69&gt;=AH$4),"·","")))</f>
        <v/>
      </c>
      <c r="AJ69" t="str">
        <f>IF(ACTIVIDADES!K69="","",ACTIVIDADES!K69)</f>
        <v>Pendiente</v>
      </c>
    </row>
    <row r="70" spans="1:36">
      <c r="A70" t="str">
        <f>IF(ACTIVIDADES!A70="","",ACTIVIDADES!A70)</f>
        <v>EX.10</v>
      </c>
      <c r="B70" t="str">
        <f>IF(ACTIVIDADES!B70="","",ACTIVIDADES!B70)</f>
        <v/>
      </c>
      <c r="C70" t="str">
        <f>IF(ACTIVIDADES!C70="","",ACTIVIDADES!C70)</f>
        <v>No planificada</v>
      </c>
      <c r="D70" t="str">
        <f>IF(ACTIVIDADES!D70="","",ACTIVIDADES!D70)</f>
        <v/>
      </c>
      <c r="E70" s="8" t="str">
        <f>IF(OR(ACTIVIDADES!$I70="",D$4=""),"",IF(ACTIVIDADES!$I70=D$4,"●",IF(AND(ACTIVIDADES!$H70&lt;=D$4,ACTIVIDADES!$I70&gt;=D$4),"·","")))</f>
        <v/>
      </c>
      <c r="F70" s="8" t="str">
        <f>IF(OR(ACTIVIDADES!$I70="",E$4=""),"",IF(ACTIVIDADES!$I70=E$4,"●",IF(AND(ACTIVIDADES!$H70&lt;=E$4,ACTIVIDADES!$I70&gt;=E$4),"·","")))</f>
        <v/>
      </c>
      <c r="G70" s="8" t="str">
        <f>IF(OR(ACTIVIDADES!$I70="",F$4=""),"",IF(ACTIVIDADES!$I70=F$4,"●",IF(AND(ACTIVIDADES!$H70&lt;=F$4,ACTIVIDADES!$I70&gt;=F$4),"·","")))</f>
        <v/>
      </c>
      <c r="H70" s="8" t="str">
        <f>IF(OR(ACTIVIDADES!$I70="",G$4=""),"",IF(ACTIVIDADES!$I70=G$4,"●",IF(AND(ACTIVIDADES!$H70&lt;=G$4,ACTIVIDADES!$I70&gt;=G$4),"·","")))</f>
        <v/>
      </c>
      <c r="I70" s="8" t="str">
        <f>IF(OR(ACTIVIDADES!$I70="",H$4=""),"",IF(ACTIVIDADES!$I70=H$4,"●",IF(AND(ACTIVIDADES!$H70&lt;=H$4,ACTIVIDADES!$I70&gt;=H$4),"·","")))</f>
        <v/>
      </c>
      <c r="J70" s="8" t="str">
        <f>IF(OR(ACTIVIDADES!$I70="",I$4=""),"",IF(ACTIVIDADES!$I70=I$4,"●",IF(AND(ACTIVIDADES!$H70&lt;=I$4,ACTIVIDADES!$I70&gt;=I$4),"·","")))</f>
        <v/>
      </c>
      <c r="K70" s="8" t="str">
        <f>IF(OR(ACTIVIDADES!$I70="",J$4=""),"",IF(ACTIVIDADES!$I70=J$4,"●",IF(AND(ACTIVIDADES!$H70&lt;=J$4,ACTIVIDADES!$I70&gt;=J$4),"·","")))</f>
        <v/>
      </c>
      <c r="L70" s="8" t="str">
        <f>IF(OR(ACTIVIDADES!$I70="",K$4=""),"",IF(ACTIVIDADES!$I70=K$4,"●",IF(AND(ACTIVIDADES!$H70&lt;=K$4,ACTIVIDADES!$I70&gt;=K$4),"·","")))</f>
        <v/>
      </c>
      <c r="M70" s="8" t="str">
        <f>IF(OR(ACTIVIDADES!$I70="",L$4=""),"",IF(ACTIVIDADES!$I70=L$4,"●",IF(AND(ACTIVIDADES!$H70&lt;=L$4,ACTIVIDADES!$I70&gt;=L$4),"·","")))</f>
        <v/>
      </c>
      <c r="N70" s="8" t="str">
        <f>IF(OR(ACTIVIDADES!$I70="",M$4=""),"",IF(ACTIVIDADES!$I70=M$4,"●",IF(AND(ACTIVIDADES!$H70&lt;=M$4,ACTIVIDADES!$I70&gt;=M$4),"·","")))</f>
        <v/>
      </c>
      <c r="O70" s="8" t="str">
        <f>IF(OR(ACTIVIDADES!$I70="",N$4=""),"",IF(ACTIVIDADES!$I70=N$4,"●",IF(AND(ACTIVIDADES!$H70&lt;=N$4,ACTIVIDADES!$I70&gt;=N$4),"·","")))</f>
        <v/>
      </c>
      <c r="P70" s="8" t="str">
        <f>IF(OR(ACTIVIDADES!$I70="",O$4=""),"",IF(ACTIVIDADES!$I70=O$4,"●",IF(AND(ACTIVIDADES!$H70&lt;=O$4,ACTIVIDADES!$I70&gt;=O$4),"·","")))</f>
        <v/>
      </c>
      <c r="Q70" s="8" t="str">
        <f>IF(OR(ACTIVIDADES!$I70="",P$4=""),"",IF(ACTIVIDADES!$I70=P$4,"●",IF(AND(ACTIVIDADES!$H70&lt;=P$4,ACTIVIDADES!$I70&gt;=P$4),"·","")))</f>
        <v/>
      </c>
      <c r="R70" s="8" t="str">
        <f>IF(OR(ACTIVIDADES!$I70="",Q$4=""),"",IF(ACTIVIDADES!$I70=Q$4,"●",IF(AND(ACTIVIDADES!$H70&lt;=Q$4,ACTIVIDADES!$I70&gt;=Q$4),"·","")))</f>
        <v/>
      </c>
      <c r="S70" s="8" t="str">
        <f>IF(OR(ACTIVIDADES!$I70="",R$4=""),"",IF(ACTIVIDADES!$I70=R$4,"●",IF(AND(ACTIVIDADES!$H70&lt;=R$4,ACTIVIDADES!$I70&gt;=R$4),"·","")))</f>
        <v/>
      </c>
      <c r="T70" s="8" t="str">
        <f>IF(OR(ACTIVIDADES!$I70="",S$4=""),"",IF(ACTIVIDADES!$I70=S$4,"●",IF(AND(ACTIVIDADES!$H70&lt;=S$4,ACTIVIDADES!$I70&gt;=S$4),"·","")))</f>
        <v/>
      </c>
      <c r="U70" s="8" t="str">
        <f>IF(OR(ACTIVIDADES!$I70="",T$4=""),"",IF(ACTIVIDADES!$I70=T$4,"●",IF(AND(ACTIVIDADES!$H70&lt;=T$4,ACTIVIDADES!$I70&gt;=T$4),"·","")))</f>
        <v/>
      </c>
      <c r="V70" s="8" t="str">
        <f>IF(OR(ACTIVIDADES!$I70="",U$4=""),"",IF(ACTIVIDADES!$I70=U$4,"●",IF(AND(ACTIVIDADES!$H70&lt;=U$4,ACTIVIDADES!$I70&gt;=U$4),"·","")))</f>
        <v/>
      </c>
      <c r="W70" s="8" t="str">
        <f>IF(OR(ACTIVIDADES!$I70="",V$4=""),"",IF(ACTIVIDADES!$I70=V$4,"●",IF(AND(ACTIVIDADES!$H70&lt;=V$4,ACTIVIDADES!$I70&gt;=V$4),"·","")))</f>
        <v/>
      </c>
      <c r="X70" s="8" t="str">
        <f>IF(OR(ACTIVIDADES!$I70="",W$4=""),"",IF(ACTIVIDADES!$I70=W$4,"●",IF(AND(ACTIVIDADES!$H70&lt;=W$4,ACTIVIDADES!$I70&gt;=W$4),"·","")))</f>
        <v/>
      </c>
      <c r="Y70" s="8" t="str">
        <f>IF(OR(ACTIVIDADES!$I70="",X$4=""),"",IF(ACTIVIDADES!$I70=X$4,"●",IF(AND(ACTIVIDADES!$H70&lt;=X$4,ACTIVIDADES!$I70&gt;=X$4),"·","")))</f>
        <v/>
      </c>
      <c r="Z70" s="8" t="str">
        <f>IF(OR(ACTIVIDADES!$I70="",Y$4=""),"",IF(ACTIVIDADES!$I70=Y$4,"●",IF(AND(ACTIVIDADES!$H70&lt;=Y$4,ACTIVIDADES!$I70&gt;=Y$4),"·","")))</f>
        <v/>
      </c>
      <c r="AA70" s="8" t="str">
        <f>IF(OR(ACTIVIDADES!$I70="",Z$4=""),"",IF(ACTIVIDADES!$I70=Z$4,"●",IF(AND(ACTIVIDADES!$H70&lt;=Z$4,ACTIVIDADES!$I70&gt;=Z$4),"·","")))</f>
        <v/>
      </c>
      <c r="AB70" s="8" t="str">
        <f>IF(OR(ACTIVIDADES!$I70="",AA$4=""),"",IF(ACTIVIDADES!$I70=AA$4,"●",IF(AND(ACTIVIDADES!$H70&lt;=AA$4,ACTIVIDADES!$I70&gt;=AA$4),"·","")))</f>
        <v/>
      </c>
      <c r="AC70" s="8" t="str">
        <f>IF(OR(ACTIVIDADES!$I70="",AB$4=""),"",IF(ACTIVIDADES!$I70=AB$4,"●",IF(AND(ACTIVIDADES!$H70&lt;=AB$4,ACTIVIDADES!$I70&gt;=AB$4),"·","")))</f>
        <v/>
      </c>
      <c r="AD70" s="8" t="str">
        <f>IF(OR(ACTIVIDADES!$I70="",AC$4=""),"",IF(ACTIVIDADES!$I70=AC$4,"●",IF(AND(ACTIVIDADES!$H70&lt;=AC$4,ACTIVIDADES!$I70&gt;=AC$4),"·","")))</f>
        <v/>
      </c>
      <c r="AE70" s="8" t="str">
        <f>IF(OR(ACTIVIDADES!$I70="",AD$4=""),"",IF(ACTIVIDADES!$I70=AD$4,"●",IF(AND(ACTIVIDADES!$H70&lt;=AD$4,ACTIVIDADES!$I70&gt;=AD$4),"·","")))</f>
        <v/>
      </c>
      <c r="AF70" s="8" t="str">
        <f>IF(OR(ACTIVIDADES!$I70="",AE$4=""),"",IF(ACTIVIDADES!$I70=AE$4,"●",IF(AND(ACTIVIDADES!$H70&lt;=AE$4,ACTIVIDADES!$I70&gt;=AE$4),"·","")))</f>
        <v/>
      </c>
      <c r="AG70" s="8" t="str">
        <f>IF(OR(ACTIVIDADES!$I70="",AF$4=""),"",IF(ACTIVIDADES!$I70=AF$4,"●",IF(AND(ACTIVIDADES!$H70&lt;=AF$4,ACTIVIDADES!$I70&gt;=AF$4),"·","")))</f>
        <v/>
      </c>
      <c r="AH70" s="8" t="str">
        <f>IF(OR(ACTIVIDADES!$I70="",AG$4=""),"",IF(ACTIVIDADES!$I70=AG$4,"●",IF(AND(ACTIVIDADES!$H70&lt;=AG$4,ACTIVIDADES!$I70&gt;=AG$4),"·","")))</f>
        <v/>
      </c>
      <c r="AI70" s="8" t="str">
        <f>IF(OR(ACTIVIDADES!$I70="",AH$4=""),"",IF(ACTIVIDADES!$I70=AH$4,"●",IF(AND(ACTIVIDADES!$H70&lt;=AH$4,ACTIVIDADES!$I70&gt;=AH$4),"·","")))</f>
        <v/>
      </c>
      <c r="AJ70" t="str">
        <f>IF(ACTIVIDADES!K70="","",ACTIVIDADES!K70)</f>
        <v>Pendiente</v>
      </c>
    </row>
    <row r="71" spans="1:36">
      <c r="A71" t="str">
        <f>IF(ACTIVIDADES!A71="","",ACTIVIDADES!A71)</f>
        <v>EX.11</v>
      </c>
      <c r="B71" t="str">
        <f>IF(ACTIVIDADES!B71="","",ACTIVIDADES!B71)</f>
        <v/>
      </c>
      <c r="C71" t="str">
        <f>IF(ACTIVIDADES!C71="","",ACTIVIDADES!C71)</f>
        <v>Extraordinaria</v>
      </c>
      <c r="D71" t="str">
        <f>IF(ACTIVIDADES!D71="","",ACTIVIDADES!D71)</f>
        <v/>
      </c>
      <c r="E71" s="8" t="str">
        <f>IF(OR(ACTIVIDADES!$I71="",D$4=""),"",IF(ACTIVIDADES!$I71=D$4,"●",IF(AND(ACTIVIDADES!$H71&lt;=D$4,ACTIVIDADES!$I71&gt;=D$4),"·","")))</f>
        <v/>
      </c>
      <c r="F71" s="8" t="str">
        <f>IF(OR(ACTIVIDADES!$I71="",E$4=""),"",IF(ACTIVIDADES!$I71=E$4,"●",IF(AND(ACTIVIDADES!$H71&lt;=E$4,ACTIVIDADES!$I71&gt;=E$4),"·","")))</f>
        <v/>
      </c>
      <c r="G71" s="8" t="str">
        <f>IF(OR(ACTIVIDADES!$I71="",F$4=""),"",IF(ACTIVIDADES!$I71=F$4,"●",IF(AND(ACTIVIDADES!$H71&lt;=F$4,ACTIVIDADES!$I71&gt;=F$4),"·","")))</f>
        <v/>
      </c>
      <c r="H71" s="8" t="str">
        <f>IF(OR(ACTIVIDADES!$I71="",G$4=""),"",IF(ACTIVIDADES!$I71=G$4,"●",IF(AND(ACTIVIDADES!$H71&lt;=G$4,ACTIVIDADES!$I71&gt;=G$4),"·","")))</f>
        <v/>
      </c>
      <c r="I71" s="8" t="str">
        <f>IF(OR(ACTIVIDADES!$I71="",H$4=""),"",IF(ACTIVIDADES!$I71=H$4,"●",IF(AND(ACTIVIDADES!$H71&lt;=H$4,ACTIVIDADES!$I71&gt;=H$4),"·","")))</f>
        <v/>
      </c>
      <c r="J71" s="8" t="str">
        <f>IF(OR(ACTIVIDADES!$I71="",I$4=""),"",IF(ACTIVIDADES!$I71=I$4,"●",IF(AND(ACTIVIDADES!$H71&lt;=I$4,ACTIVIDADES!$I71&gt;=I$4),"·","")))</f>
        <v/>
      </c>
      <c r="K71" s="8" t="str">
        <f>IF(OR(ACTIVIDADES!$I71="",J$4=""),"",IF(ACTIVIDADES!$I71=J$4,"●",IF(AND(ACTIVIDADES!$H71&lt;=J$4,ACTIVIDADES!$I71&gt;=J$4),"·","")))</f>
        <v/>
      </c>
      <c r="L71" s="8" t="str">
        <f>IF(OR(ACTIVIDADES!$I71="",K$4=""),"",IF(ACTIVIDADES!$I71=K$4,"●",IF(AND(ACTIVIDADES!$H71&lt;=K$4,ACTIVIDADES!$I71&gt;=K$4),"·","")))</f>
        <v/>
      </c>
      <c r="M71" s="8" t="str">
        <f>IF(OR(ACTIVIDADES!$I71="",L$4=""),"",IF(ACTIVIDADES!$I71=L$4,"●",IF(AND(ACTIVIDADES!$H71&lt;=L$4,ACTIVIDADES!$I71&gt;=L$4),"·","")))</f>
        <v/>
      </c>
      <c r="N71" s="8" t="str">
        <f>IF(OR(ACTIVIDADES!$I71="",M$4=""),"",IF(ACTIVIDADES!$I71=M$4,"●",IF(AND(ACTIVIDADES!$H71&lt;=M$4,ACTIVIDADES!$I71&gt;=M$4),"·","")))</f>
        <v/>
      </c>
      <c r="O71" s="8" t="str">
        <f>IF(OR(ACTIVIDADES!$I71="",N$4=""),"",IF(ACTIVIDADES!$I71=N$4,"●",IF(AND(ACTIVIDADES!$H71&lt;=N$4,ACTIVIDADES!$I71&gt;=N$4),"·","")))</f>
        <v/>
      </c>
      <c r="P71" s="8" t="str">
        <f>IF(OR(ACTIVIDADES!$I71="",O$4=""),"",IF(ACTIVIDADES!$I71=O$4,"●",IF(AND(ACTIVIDADES!$H71&lt;=O$4,ACTIVIDADES!$I71&gt;=O$4),"·","")))</f>
        <v/>
      </c>
      <c r="Q71" s="8" t="str">
        <f>IF(OR(ACTIVIDADES!$I71="",P$4=""),"",IF(ACTIVIDADES!$I71=P$4,"●",IF(AND(ACTIVIDADES!$H71&lt;=P$4,ACTIVIDADES!$I71&gt;=P$4),"·","")))</f>
        <v/>
      </c>
      <c r="R71" s="8" t="str">
        <f>IF(OR(ACTIVIDADES!$I71="",Q$4=""),"",IF(ACTIVIDADES!$I71=Q$4,"●",IF(AND(ACTIVIDADES!$H71&lt;=Q$4,ACTIVIDADES!$I71&gt;=Q$4),"·","")))</f>
        <v/>
      </c>
      <c r="S71" s="8" t="str">
        <f>IF(OR(ACTIVIDADES!$I71="",R$4=""),"",IF(ACTIVIDADES!$I71=R$4,"●",IF(AND(ACTIVIDADES!$H71&lt;=R$4,ACTIVIDADES!$I71&gt;=R$4),"·","")))</f>
        <v/>
      </c>
      <c r="T71" s="8" t="str">
        <f>IF(OR(ACTIVIDADES!$I71="",S$4=""),"",IF(ACTIVIDADES!$I71=S$4,"●",IF(AND(ACTIVIDADES!$H71&lt;=S$4,ACTIVIDADES!$I71&gt;=S$4),"·","")))</f>
        <v/>
      </c>
      <c r="U71" s="8" t="str">
        <f>IF(OR(ACTIVIDADES!$I71="",T$4=""),"",IF(ACTIVIDADES!$I71=T$4,"●",IF(AND(ACTIVIDADES!$H71&lt;=T$4,ACTIVIDADES!$I71&gt;=T$4),"·","")))</f>
        <v/>
      </c>
      <c r="V71" s="8" t="str">
        <f>IF(OR(ACTIVIDADES!$I71="",U$4=""),"",IF(ACTIVIDADES!$I71=U$4,"●",IF(AND(ACTIVIDADES!$H71&lt;=U$4,ACTIVIDADES!$I71&gt;=U$4),"·","")))</f>
        <v/>
      </c>
      <c r="W71" s="8" t="str">
        <f>IF(OR(ACTIVIDADES!$I71="",V$4=""),"",IF(ACTIVIDADES!$I71=V$4,"●",IF(AND(ACTIVIDADES!$H71&lt;=V$4,ACTIVIDADES!$I71&gt;=V$4),"·","")))</f>
        <v/>
      </c>
      <c r="X71" s="8" t="str">
        <f>IF(OR(ACTIVIDADES!$I71="",W$4=""),"",IF(ACTIVIDADES!$I71=W$4,"●",IF(AND(ACTIVIDADES!$H71&lt;=W$4,ACTIVIDADES!$I71&gt;=W$4),"·","")))</f>
        <v/>
      </c>
      <c r="Y71" s="8" t="str">
        <f>IF(OR(ACTIVIDADES!$I71="",X$4=""),"",IF(ACTIVIDADES!$I71=X$4,"●",IF(AND(ACTIVIDADES!$H71&lt;=X$4,ACTIVIDADES!$I71&gt;=X$4),"·","")))</f>
        <v/>
      </c>
      <c r="Z71" s="8" t="str">
        <f>IF(OR(ACTIVIDADES!$I71="",Y$4=""),"",IF(ACTIVIDADES!$I71=Y$4,"●",IF(AND(ACTIVIDADES!$H71&lt;=Y$4,ACTIVIDADES!$I71&gt;=Y$4),"·","")))</f>
        <v/>
      </c>
      <c r="AA71" s="8" t="str">
        <f>IF(OR(ACTIVIDADES!$I71="",Z$4=""),"",IF(ACTIVIDADES!$I71=Z$4,"●",IF(AND(ACTIVIDADES!$H71&lt;=Z$4,ACTIVIDADES!$I71&gt;=Z$4),"·","")))</f>
        <v/>
      </c>
      <c r="AB71" s="8" t="str">
        <f>IF(OR(ACTIVIDADES!$I71="",AA$4=""),"",IF(ACTIVIDADES!$I71=AA$4,"●",IF(AND(ACTIVIDADES!$H71&lt;=AA$4,ACTIVIDADES!$I71&gt;=AA$4),"·","")))</f>
        <v/>
      </c>
      <c r="AC71" s="8" t="str">
        <f>IF(OR(ACTIVIDADES!$I71="",AB$4=""),"",IF(ACTIVIDADES!$I71=AB$4,"●",IF(AND(ACTIVIDADES!$H71&lt;=AB$4,ACTIVIDADES!$I71&gt;=AB$4),"·","")))</f>
        <v/>
      </c>
      <c r="AD71" s="8" t="str">
        <f>IF(OR(ACTIVIDADES!$I71="",AC$4=""),"",IF(ACTIVIDADES!$I71=AC$4,"●",IF(AND(ACTIVIDADES!$H71&lt;=AC$4,ACTIVIDADES!$I71&gt;=AC$4),"·","")))</f>
        <v/>
      </c>
      <c r="AE71" s="8" t="str">
        <f>IF(OR(ACTIVIDADES!$I71="",AD$4=""),"",IF(ACTIVIDADES!$I71=AD$4,"●",IF(AND(ACTIVIDADES!$H71&lt;=AD$4,ACTIVIDADES!$I71&gt;=AD$4),"·","")))</f>
        <v/>
      </c>
      <c r="AF71" s="8" t="str">
        <f>IF(OR(ACTIVIDADES!$I71="",AE$4=""),"",IF(ACTIVIDADES!$I71=AE$4,"●",IF(AND(ACTIVIDADES!$H71&lt;=AE$4,ACTIVIDADES!$I71&gt;=AE$4),"·","")))</f>
        <v/>
      </c>
      <c r="AG71" s="8" t="str">
        <f>IF(OR(ACTIVIDADES!$I71="",AF$4=""),"",IF(ACTIVIDADES!$I71=AF$4,"●",IF(AND(ACTIVIDADES!$H71&lt;=AF$4,ACTIVIDADES!$I71&gt;=AF$4),"·","")))</f>
        <v/>
      </c>
      <c r="AH71" s="8" t="str">
        <f>IF(OR(ACTIVIDADES!$I71="",AG$4=""),"",IF(ACTIVIDADES!$I71=AG$4,"●",IF(AND(ACTIVIDADES!$H71&lt;=AG$4,ACTIVIDADES!$I71&gt;=AG$4),"·","")))</f>
        <v/>
      </c>
      <c r="AI71" s="8" t="str">
        <f>IF(OR(ACTIVIDADES!$I71="",AH$4=""),"",IF(ACTIVIDADES!$I71=AH$4,"●",IF(AND(ACTIVIDADES!$H71&lt;=AH$4,ACTIVIDADES!$I71&gt;=AH$4),"·","")))</f>
        <v/>
      </c>
      <c r="AJ71" t="str">
        <f>IF(ACTIVIDADES!K71="","",ACTIVIDADES!K71)</f>
        <v>Pendiente</v>
      </c>
    </row>
    <row r="72" spans="1:36">
      <c r="A72" t="str">
        <f>IF(ACTIVIDADES!A72="","",ACTIVIDADES!A72)</f>
        <v>EX.12</v>
      </c>
      <c r="B72" t="str">
        <f>IF(ACTIVIDADES!B72="","",ACTIVIDADES!B72)</f>
        <v/>
      </c>
      <c r="C72" t="str">
        <f>IF(ACTIVIDADES!C72="","",ACTIVIDADES!C72)</f>
        <v>No planificada</v>
      </c>
      <c r="D72" t="str">
        <f>IF(ACTIVIDADES!D72="","",ACTIVIDADES!D72)</f>
        <v/>
      </c>
      <c r="E72" s="8" t="str">
        <f>IF(OR(ACTIVIDADES!$I72="",D$4=""),"",IF(ACTIVIDADES!$I72=D$4,"●",IF(AND(ACTIVIDADES!$H72&lt;=D$4,ACTIVIDADES!$I72&gt;=D$4),"·","")))</f>
        <v/>
      </c>
      <c r="F72" s="8" t="str">
        <f>IF(OR(ACTIVIDADES!$I72="",E$4=""),"",IF(ACTIVIDADES!$I72=E$4,"●",IF(AND(ACTIVIDADES!$H72&lt;=E$4,ACTIVIDADES!$I72&gt;=E$4),"·","")))</f>
        <v/>
      </c>
      <c r="G72" s="8" t="str">
        <f>IF(OR(ACTIVIDADES!$I72="",F$4=""),"",IF(ACTIVIDADES!$I72=F$4,"●",IF(AND(ACTIVIDADES!$H72&lt;=F$4,ACTIVIDADES!$I72&gt;=F$4),"·","")))</f>
        <v/>
      </c>
      <c r="H72" s="8" t="str">
        <f>IF(OR(ACTIVIDADES!$I72="",G$4=""),"",IF(ACTIVIDADES!$I72=G$4,"●",IF(AND(ACTIVIDADES!$H72&lt;=G$4,ACTIVIDADES!$I72&gt;=G$4),"·","")))</f>
        <v/>
      </c>
      <c r="I72" s="8" t="str">
        <f>IF(OR(ACTIVIDADES!$I72="",H$4=""),"",IF(ACTIVIDADES!$I72=H$4,"●",IF(AND(ACTIVIDADES!$H72&lt;=H$4,ACTIVIDADES!$I72&gt;=H$4),"·","")))</f>
        <v/>
      </c>
      <c r="J72" s="8" t="str">
        <f>IF(OR(ACTIVIDADES!$I72="",I$4=""),"",IF(ACTIVIDADES!$I72=I$4,"●",IF(AND(ACTIVIDADES!$H72&lt;=I$4,ACTIVIDADES!$I72&gt;=I$4),"·","")))</f>
        <v/>
      </c>
      <c r="K72" s="8" t="str">
        <f>IF(OR(ACTIVIDADES!$I72="",J$4=""),"",IF(ACTIVIDADES!$I72=J$4,"●",IF(AND(ACTIVIDADES!$H72&lt;=J$4,ACTIVIDADES!$I72&gt;=J$4),"·","")))</f>
        <v/>
      </c>
      <c r="L72" s="8" t="str">
        <f>IF(OR(ACTIVIDADES!$I72="",K$4=""),"",IF(ACTIVIDADES!$I72=K$4,"●",IF(AND(ACTIVIDADES!$H72&lt;=K$4,ACTIVIDADES!$I72&gt;=K$4),"·","")))</f>
        <v/>
      </c>
      <c r="M72" s="8" t="str">
        <f>IF(OR(ACTIVIDADES!$I72="",L$4=""),"",IF(ACTIVIDADES!$I72=L$4,"●",IF(AND(ACTIVIDADES!$H72&lt;=L$4,ACTIVIDADES!$I72&gt;=L$4),"·","")))</f>
        <v/>
      </c>
      <c r="N72" s="8" t="str">
        <f>IF(OR(ACTIVIDADES!$I72="",M$4=""),"",IF(ACTIVIDADES!$I72=M$4,"●",IF(AND(ACTIVIDADES!$H72&lt;=M$4,ACTIVIDADES!$I72&gt;=M$4),"·","")))</f>
        <v/>
      </c>
      <c r="O72" s="8" t="str">
        <f>IF(OR(ACTIVIDADES!$I72="",N$4=""),"",IF(ACTIVIDADES!$I72=N$4,"●",IF(AND(ACTIVIDADES!$H72&lt;=N$4,ACTIVIDADES!$I72&gt;=N$4),"·","")))</f>
        <v/>
      </c>
      <c r="P72" s="8" t="str">
        <f>IF(OR(ACTIVIDADES!$I72="",O$4=""),"",IF(ACTIVIDADES!$I72=O$4,"●",IF(AND(ACTIVIDADES!$H72&lt;=O$4,ACTIVIDADES!$I72&gt;=O$4),"·","")))</f>
        <v/>
      </c>
      <c r="Q72" s="8" t="str">
        <f>IF(OR(ACTIVIDADES!$I72="",P$4=""),"",IF(ACTIVIDADES!$I72=P$4,"●",IF(AND(ACTIVIDADES!$H72&lt;=P$4,ACTIVIDADES!$I72&gt;=P$4),"·","")))</f>
        <v/>
      </c>
      <c r="R72" s="8" t="str">
        <f>IF(OR(ACTIVIDADES!$I72="",Q$4=""),"",IF(ACTIVIDADES!$I72=Q$4,"●",IF(AND(ACTIVIDADES!$H72&lt;=Q$4,ACTIVIDADES!$I72&gt;=Q$4),"·","")))</f>
        <v/>
      </c>
      <c r="S72" s="8" t="str">
        <f>IF(OR(ACTIVIDADES!$I72="",R$4=""),"",IF(ACTIVIDADES!$I72=R$4,"●",IF(AND(ACTIVIDADES!$H72&lt;=R$4,ACTIVIDADES!$I72&gt;=R$4),"·","")))</f>
        <v/>
      </c>
      <c r="T72" s="8" t="str">
        <f>IF(OR(ACTIVIDADES!$I72="",S$4=""),"",IF(ACTIVIDADES!$I72=S$4,"●",IF(AND(ACTIVIDADES!$H72&lt;=S$4,ACTIVIDADES!$I72&gt;=S$4),"·","")))</f>
        <v/>
      </c>
      <c r="U72" s="8" t="str">
        <f>IF(OR(ACTIVIDADES!$I72="",T$4=""),"",IF(ACTIVIDADES!$I72=T$4,"●",IF(AND(ACTIVIDADES!$H72&lt;=T$4,ACTIVIDADES!$I72&gt;=T$4),"·","")))</f>
        <v/>
      </c>
      <c r="V72" s="8" t="str">
        <f>IF(OR(ACTIVIDADES!$I72="",U$4=""),"",IF(ACTIVIDADES!$I72=U$4,"●",IF(AND(ACTIVIDADES!$H72&lt;=U$4,ACTIVIDADES!$I72&gt;=U$4),"·","")))</f>
        <v/>
      </c>
      <c r="W72" s="8" t="str">
        <f>IF(OR(ACTIVIDADES!$I72="",V$4=""),"",IF(ACTIVIDADES!$I72=V$4,"●",IF(AND(ACTIVIDADES!$H72&lt;=V$4,ACTIVIDADES!$I72&gt;=V$4),"·","")))</f>
        <v/>
      </c>
      <c r="X72" s="8" t="str">
        <f>IF(OR(ACTIVIDADES!$I72="",W$4=""),"",IF(ACTIVIDADES!$I72=W$4,"●",IF(AND(ACTIVIDADES!$H72&lt;=W$4,ACTIVIDADES!$I72&gt;=W$4),"·","")))</f>
        <v/>
      </c>
      <c r="Y72" s="8" t="str">
        <f>IF(OR(ACTIVIDADES!$I72="",X$4=""),"",IF(ACTIVIDADES!$I72=X$4,"●",IF(AND(ACTIVIDADES!$H72&lt;=X$4,ACTIVIDADES!$I72&gt;=X$4),"·","")))</f>
        <v/>
      </c>
      <c r="Z72" s="8" t="str">
        <f>IF(OR(ACTIVIDADES!$I72="",Y$4=""),"",IF(ACTIVIDADES!$I72=Y$4,"●",IF(AND(ACTIVIDADES!$H72&lt;=Y$4,ACTIVIDADES!$I72&gt;=Y$4),"·","")))</f>
        <v/>
      </c>
      <c r="AA72" s="8" t="str">
        <f>IF(OR(ACTIVIDADES!$I72="",Z$4=""),"",IF(ACTIVIDADES!$I72=Z$4,"●",IF(AND(ACTIVIDADES!$H72&lt;=Z$4,ACTIVIDADES!$I72&gt;=Z$4),"·","")))</f>
        <v/>
      </c>
      <c r="AB72" s="8" t="str">
        <f>IF(OR(ACTIVIDADES!$I72="",AA$4=""),"",IF(ACTIVIDADES!$I72=AA$4,"●",IF(AND(ACTIVIDADES!$H72&lt;=AA$4,ACTIVIDADES!$I72&gt;=AA$4),"·","")))</f>
        <v/>
      </c>
      <c r="AC72" s="8" t="str">
        <f>IF(OR(ACTIVIDADES!$I72="",AB$4=""),"",IF(ACTIVIDADES!$I72=AB$4,"●",IF(AND(ACTIVIDADES!$H72&lt;=AB$4,ACTIVIDADES!$I72&gt;=AB$4),"·","")))</f>
        <v/>
      </c>
      <c r="AD72" s="8" t="str">
        <f>IF(OR(ACTIVIDADES!$I72="",AC$4=""),"",IF(ACTIVIDADES!$I72=AC$4,"●",IF(AND(ACTIVIDADES!$H72&lt;=AC$4,ACTIVIDADES!$I72&gt;=AC$4),"·","")))</f>
        <v/>
      </c>
      <c r="AE72" s="8" t="str">
        <f>IF(OR(ACTIVIDADES!$I72="",AD$4=""),"",IF(ACTIVIDADES!$I72=AD$4,"●",IF(AND(ACTIVIDADES!$H72&lt;=AD$4,ACTIVIDADES!$I72&gt;=AD$4),"·","")))</f>
        <v/>
      </c>
      <c r="AF72" s="8" t="str">
        <f>IF(OR(ACTIVIDADES!$I72="",AE$4=""),"",IF(ACTIVIDADES!$I72=AE$4,"●",IF(AND(ACTIVIDADES!$H72&lt;=AE$4,ACTIVIDADES!$I72&gt;=AE$4),"·","")))</f>
        <v/>
      </c>
      <c r="AG72" s="8" t="str">
        <f>IF(OR(ACTIVIDADES!$I72="",AF$4=""),"",IF(ACTIVIDADES!$I72=AF$4,"●",IF(AND(ACTIVIDADES!$H72&lt;=AF$4,ACTIVIDADES!$I72&gt;=AF$4),"·","")))</f>
        <v/>
      </c>
      <c r="AH72" s="8" t="str">
        <f>IF(OR(ACTIVIDADES!$I72="",AG$4=""),"",IF(ACTIVIDADES!$I72=AG$4,"●",IF(AND(ACTIVIDADES!$H72&lt;=AG$4,ACTIVIDADES!$I72&gt;=AG$4),"·","")))</f>
        <v/>
      </c>
      <c r="AI72" s="8" t="str">
        <f>IF(OR(ACTIVIDADES!$I72="",AH$4=""),"",IF(ACTIVIDADES!$I72=AH$4,"●",IF(AND(ACTIVIDADES!$H72&lt;=AH$4,ACTIVIDADES!$I72&gt;=AH$4),"·","")))</f>
        <v/>
      </c>
      <c r="AJ72" t="str">
        <f>IF(ACTIVIDADES!K72="","",ACTIVIDADES!K72)</f>
        <v>Pendiente</v>
      </c>
    </row>
    <row r="73" spans="1:36">
      <c r="A73" t="str">
        <f>IF(ACTIVIDADES!A73="","",ACTIVIDADES!A73)</f>
        <v>EX.13</v>
      </c>
      <c r="B73" t="str">
        <f>IF(ACTIVIDADES!B73="","",ACTIVIDADES!B73)</f>
        <v/>
      </c>
      <c r="C73" t="str">
        <f>IF(ACTIVIDADES!C73="","",ACTIVIDADES!C73)</f>
        <v>Extraordinaria</v>
      </c>
      <c r="D73" t="str">
        <f>IF(ACTIVIDADES!D73="","",ACTIVIDADES!D73)</f>
        <v/>
      </c>
      <c r="E73" s="8" t="str">
        <f>IF(OR(ACTIVIDADES!$I73="",D$4=""),"",IF(ACTIVIDADES!$I73=D$4,"●",IF(AND(ACTIVIDADES!$H73&lt;=D$4,ACTIVIDADES!$I73&gt;=D$4),"·","")))</f>
        <v/>
      </c>
      <c r="F73" s="8" t="str">
        <f>IF(OR(ACTIVIDADES!$I73="",E$4=""),"",IF(ACTIVIDADES!$I73=E$4,"●",IF(AND(ACTIVIDADES!$H73&lt;=E$4,ACTIVIDADES!$I73&gt;=E$4),"·","")))</f>
        <v/>
      </c>
      <c r="G73" s="8" t="str">
        <f>IF(OR(ACTIVIDADES!$I73="",F$4=""),"",IF(ACTIVIDADES!$I73=F$4,"●",IF(AND(ACTIVIDADES!$H73&lt;=F$4,ACTIVIDADES!$I73&gt;=F$4),"·","")))</f>
        <v/>
      </c>
      <c r="H73" s="8" t="str">
        <f>IF(OR(ACTIVIDADES!$I73="",G$4=""),"",IF(ACTIVIDADES!$I73=G$4,"●",IF(AND(ACTIVIDADES!$H73&lt;=G$4,ACTIVIDADES!$I73&gt;=G$4),"·","")))</f>
        <v/>
      </c>
      <c r="I73" s="8" t="str">
        <f>IF(OR(ACTIVIDADES!$I73="",H$4=""),"",IF(ACTIVIDADES!$I73=H$4,"●",IF(AND(ACTIVIDADES!$H73&lt;=H$4,ACTIVIDADES!$I73&gt;=H$4),"·","")))</f>
        <v/>
      </c>
      <c r="J73" s="8" t="str">
        <f>IF(OR(ACTIVIDADES!$I73="",I$4=""),"",IF(ACTIVIDADES!$I73=I$4,"●",IF(AND(ACTIVIDADES!$H73&lt;=I$4,ACTIVIDADES!$I73&gt;=I$4),"·","")))</f>
        <v/>
      </c>
      <c r="K73" s="8" t="str">
        <f>IF(OR(ACTIVIDADES!$I73="",J$4=""),"",IF(ACTIVIDADES!$I73=J$4,"●",IF(AND(ACTIVIDADES!$H73&lt;=J$4,ACTIVIDADES!$I73&gt;=J$4),"·","")))</f>
        <v/>
      </c>
      <c r="L73" s="8" t="str">
        <f>IF(OR(ACTIVIDADES!$I73="",K$4=""),"",IF(ACTIVIDADES!$I73=K$4,"●",IF(AND(ACTIVIDADES!$H73&lt;=K$4,ACTIVIDADES!$I73&gt;=K$4),"·","")))</f>
        <v/>
      </c>
      <c r="M73" s="8" t="str">
        <f>IF(OR(ACTIVIDADES!$I73="",L$4=""),"",IF(ACTIVIDADES!$I73=L$4,"●",IF(AND(ACTIVIDADES!$H73&lt;=L$4,ACTIVIDADES!$I73&gt;=L$4),"·","")))</f>
        <v/>
      </c>
      <c r="N73" s="8" t="str">
        <f>IF(OR(ACTIVIDADES!$I73="",M$4=""),"",IF(ACTIVIDADES!$I73=M$4,"●",IF(AND(ACTIVIDADES!$H73&lt;=M$4,ACTIVIDADES!$I73&gt;=M$4),"·","")))</f>
        <v/>
      </c>
      <c r="O73" s="8" t="str">
        <f>IF(OR(ACTIVIDADES!$I73="",N$4=""),"",IF(ACTIVIDADES!$I73=N$4,"●",IF(AND(ACTIVIDADES!$H73&lt;=N$4,ACTIVIDADES!$I73&gt;=N$4),"·","")))</f>
        <v/>
      </c>
      <c r="P73" s="8" t="str">
        <f>IF(OR(ACTIVIDADES!$I73="",O$4=""),"",IF(ACTIVIDADES!$I73=O$4,"●",IF(AND(ACTIVIDADES!$H73&lt;=O$4,ACTIVIDADES!$I73&gt;=O$4),"·","")))</f>
        <v/>
      </c>
      <c r="Q73" s="8" t="str">
        <f>IF(OR(ACTIVIDADES!$I73="",P$4=""),"",IF(ACTIVIDADES!$I73=P$4,"●",IF(AND(ACTIVIDADES!$H73&lt;=P$4,ACTIVIDADES!$I73&gt;=P$4),"·","")))</f>
        <v/>
      </c>
      <c r="R73" s="8" t="str">
        <f>IF(OR(ACTIVIDADES!$I73="",Q$4=""),"",IF(ACTIVIDADES!$I73=Q$4,"●",IF(AND(ACTIVIDADES!$H73&lt;=Q$4,ACTIVIDADES!$I73&gt;=Q$4),"·","")))</f>
        <v/>
      </c>
      <c r="S73" s="8" t="str">
        <f>IF(OR(ACTIVIDADES!$I73="",R$4=""),"",IF(ACTIVIDADES!$I73=R$4,"●",IF(AND(ACTIVIDADES!$H73&lt;=R$4,ACTIVIDADES!$I73&gt;=R$4),"·","")))</f>
        <v/>
      </c>
      <c r="T73" s="8" t="str">
        <f>IF(OR(ACTIVIDADES!$I73="",S$4=""),"",IF(ACTIVIDADES!$I73=S$4,"●",IF(AND(ACTIVIDADES!$H73&lt;=S$4,ACTIVIDADES!$I73&gt;=S$4),"·","")))</f>
        <v/>
      </c>
      <c r="U73" s="8" t="str">
        <f>IF(OR(ACTIVIDADES!$I73="",T$4=""),"",IF(ACTIVIDADES!$I73=T$4,"●",IF(AND(ACTIVIDADES!$H73&lt;=T$4,ACTIVIDADES!$I73&gt;=T$4),"·","")))</f>
        <v/>
      </c>
      <c r="V73" s="8" t="str">
        <f>IF(OR(ACTIVIDADES!$I73="",U$4=""),"",IF(ACTIVIDADES!$I73=U$4,"●",IF(AND(ACTIVIDADES!$H73&lt;=U$4,ACTIVIDADES!$I73&gt;=U$4),"·","")))</f>
        <v/>
      </c>
      <c r="W73" s="8" t="str">
        <f>IF(OR(ACTIVIDADES!$I73="",V$4=""),"",IF(ACTIVIDADES!$I73=V$4,"●",IF(AND(ACTIVIDADES!$H73&lt;=V$4,ACTIVIDADES!$I73&gt;=V$4),"·","")))</f>
        <v/>
      </c>
      <c r="X73" s="8" t="str">
        <f>IF(OR(ACTIVIDADES!$I73="",W$4=""),"",IF(ACTIVIDADES!$I73=W$4,"●",IF(AND(ACTIVIDADES!$H73&lt;=W$4,ACTIVIDADES!$I73&gt;=W$4),"·","")))</f>
        <v/>
      </c>
      <c r="Y73" s="8" t="str">
        <f>IF(OR(ACTIVIDADES!$I73="",X$4=""),"",IF(ACTIVIDADES!$I73=X$4,"●",IF(AND(ACTIVIDADES!$H73&lt;=X$4,ACTIVIDADES!$I73&gt;=X$4),"·","")))</f>
        <v/>
      </c>
      <c r="Z73" s="8" t="str">
        <f>IF(OR(ACTIVIDADES!$I73="",Y$4=""),"",IF(ACTIVIDADES!$I73=Y$4,"●",IF(AND(ACTIVIDADES!$H73&lt;=Y$4,ACTIVIDADES!$I73&gt;=Y$4),"·","")))</f>
        <v/>
      </c>
      <c r="AA73" s="8" t="str">
        <f>IF(OR(ACTIVIDADES!$I73="",Z$4=""),"",IF(ACTIVIDADES!$I73=Z$4,"●",IF(AND(ACTIVIDADES!$H73&lt;=Z$4,ACTIVIDADES!$I73&gt;=Z$4),"·","")))</f>
        <v/>
      </c>
      <c r="AB73" s="8" t="str">
        <f>IF(OR(ACTIVIDADES!$I73="",AA$4=""),"",IF(ACTIVIDADES!$I73=AA$4,"●",IF(AND(ACTIVIDADES!$H73&lt;=AA$4,ACTIVIDADES!$I73&gt;=AA$4),"·","")))</f>
        <v/>
      </c>
      <c r="AC73" s="8" t="str">
        <f>IF(OR(ACTIVIDADES!$I73="",AB$4=""),"",IF(ACTIVIDADES!$I73=AB$4,"●",IF(AND(ACTIVIDADES!$H73&lt;=AB$4,ACTIVIDADES!$I73&gt;=AB$4),"·","")))</f>
        <v/>
      </c>
      <c r="AD73" s="8" t="str">
        <f>IF(OR(ACTIVIDADES!$I73="",AC$4=""),"",IF(ACTIVIDADES!$I73=AC$4,"●",IF(AND(ACTIVIDADES!$H73&lt;=AC$4,ACTIVIDADES!$I73&gt;=AC$4),"·","")))</f>
        <v/>
      </c>
      <c r="AE73" s="8" t="str">
        <f>IF(OR(ACTIVIDADES!$I73="",AD$4=""),"",IF(ACTIVIDADES!$I73=AD$4,"●",IF(AND(ACTIVIDADES!$H73&lt;=AD$4,ACTIVIDADES!$I73&gt;=AD$4),"·","")))</f>
        <v/>
      </c>
      <c r="AF73" s="8" t="str">
        <f>IF(OR(ACTIVIDADES!$I73="",AE$4=""),"",IF(ACTIVIDADES!$I73=AE$4,"●",IF(AND(ACTIVIDADES!$H73&lt;=AE$4,ACTIVIDADES!$I73&gt;=AE$4),"·","")))</f>
        <v/>
      </c>
      <c r="AG73" s="8" t="str">
        <f>IF(OR(ACTIVIDADES!$I73="",AF$4=""),"",IF(ACTIVIDADES!$I73=AF$4,"●",IF(AND(ACTIVIDADES!$H73&lt;=AF$4,ACTIVIDADES!$I73&gt;=AF$4),"·","")))</f>
        <v/>
      </c>
      <c r="AH73" s="8" t="str">
        <f>IF(OR(ACTIVIDADES!$I73="",AG$4=""),"",IF(ACTIVIDADES!$I73=AG$4,"●",IF(AND(ACTIVIDADES!$H73&lt;=AG$4,ACTIVIDADES!$I73&gt;=AG$4),"·","")))</f>
        <v/>
      </c>
      <c r="AI73" s="8" t="str">
        <f>IF(OR(ACTIVIDADES!$I73="",AH$4=""),"",IF(ACTIVIDADES!$I73=AH$4,"●",IF(AND(ACTIVIDADES!$H73&lt;=AH$4,ACTIVIDADES!$I73&gt;=AH$4),"·","")))</f>
        <v/>
      </c>
      <c r="AJ73" t="str">
        <f>IF(ACTIVIDADES!K73="","",ACTIVIDADES!K73)</f>
        <v>Pendiente</v>
      </c>
    </row>
    <row r="74" spans="1:36">
      <c r="A74" t="str">
        <f>IF(ACTIVIDADES!A74="","",ACTIVIDADES!A74)</f>
        <v>EX.14</v>
      </c>
      <c r="B74" t="str">
        <f>IF(ACTIVIDADES!B74="","",ACTIVIDADES!B74)</f>
        <v/>
      </c>
      <c r="C74" t="str">
        <f>IF(ACTIVIDADES!C74="","",ACTIVIDADES!C74)</f>
        <v>No planificada</v>
      </c>
      <c r="D74" t="str">
        <f>IF(ACTIVIDADES!D74="","",ACTIVIDADES!D74)</f>
        <v/>
      </c>
      <c r="E74" s="8" t="str">
        <f>IF(OR(ACTIVIDADES!$I74="",D$4=""),"",IF(ACTIVIDADES!$I74=D$4,"●",IF(AND(ACTIVIDADES!$H74&lt;=D$4,ACTIVIDADES!$I74&gt;=D$4),"·","")))</f>
        <v/>
      </c>
      <c r="F74" s="8" t="str">
        <f>IF(OR(ACTIVIDADES!$I74="",E$4=""),"",IF(ACTIVIDADES!$I74=E$4,"●",IF(AND(ACTIVIDADES!$H74&lt;=E$4,ACTIVIDADES!$I74&gt;=E$4),"·","")))</f>
        <v/>
      </c>
      <c r="G74" s="8" t="str">
        <f>IF(OR(ACTIVIDADES!$I74="",F$4=""),"",IF(ACTIVIDADES!$I74=F$4,"●",IF(AND(ACTIVIDADES!$H74&lt;=F$4,ACTIVIDADES!$I74&gt;=F$4),"·","")))</f>
        <v/>
      </c>
      <c r="H74" s="8" t="str">
        <f>IF(OR(ACTIVIDADES!$I74="",G$4=""),"",IF(ACTIVIDADES!$I74=G$4,"●",IF(AND(ACTIVIDADES!$H74&lt;=G$4,ACTIVIDADES!$I74&gt;=G$4),"·","")))</f>
        <v/>
      </c>
      <c r="I74" s="8" t="str">
        <f>IF(OR(ACTIVIDADES!$I74="",H$4=""),"",IF(ACTIVIDADES!$I74=H$4,"●",IF(AND(ACTIVIDADES!$H74&lt;=H$4,ACTIVIDADES!$I74&gt;=H$4),"·","")))</f>
        <v/>
      </c>
      <c r="J74" s="8" t="str">
        <f>IF(OR(ACTIVIDADES!$I74="",I$4=""),"",IF(ACTIVIDADES!$I74=I$4,"●",IF(AND(ACTIVIDADES!$H74&lt;=I$4,ACTIVIDADES!$I74&gt;=I$4),"·","")))</f>
        <v/>
      </c>
      <c r="K74" s="8" t="str">
        <f>IF(OR(ACTIVIDADES!$I74="",J$4=""),"",IF(ACTIVIDADES!$I74=J$4,"●",IF(AND(ACTIVIDADES!$H74&lt;=J$4,ACTIVIDADES!$I74&gt;=J$4),"·","")))</f>
        <v/>
      </c>
      <c r="L74" s="8" t="str">
        <f>IF(OR(ACTIVIDADES!$I74="",K$4=""),"",IF(ACTIVIDADES!$I74=K$4,"●",IF(AND(ACTIVIDADES!$H74&lt;=K$4,ACTIVIDADES!$I74&gt;=K$4),"·","")))</f>
        <v/>
      </c>
      <c r="M74" s="8" t="str">
        <f>IF(OR(ACTIVIDADES!$I74="",L$4=""),"",IF(ACTIVIDADES!$I74=L$4,"●",IF(AND(ACTIVIDADES!$H74&lt;=L$4,ACTIVIDADES!$I74&gt;=L$4),"·","")))</f>
        <v/>
      </c>
      <c r="N74" s="8" t="str">
        <f>IF(OR(ACTIVIDADES!$I74="",M$4=""),"",IF(ACTIVIDADES!$I74=M$4,"●",IF(AND(ACTIVIDADES!$H74&lt;=M$4,ACTIVIDADES!$I74&gt;=M$4),"·","")))</f>
        <v/>
      </c>
      <c r="O74" s="8" t="str">
        <f>IF(OR(ACTIVIDADES!$I74="",N$4=""),"",IF(ACTIVIDADES!$I74=N$4,"●",IF(AND(ACTIVIDADES!$H74&lt;=N$4,ACTIVIDADES!$I74&gt;=N$4),"·","")))</f>
        <v/>
      </c>
      <c r="P74" s="8" t="str">
        <f>IF(OR(ACTIVIDADES!$I74="",O$4=""),"",IF(ACTIVIDADES!$I74=O$4,"●",IF(AND(ACTIVIDADES!$H74&lt;=O$4,ACTIVIDADES!$I74&gt;=O$4),"·","")))</f>
        <v/>
      </c>
      <c r="Q74" s="8" t="str">
        <f>IF(OR(ACTIVIDADES!$I74="",P$4=""),"",IF(ACTIVIDADES!$I74=P$4,"●",IF(AND(ACTIVIDADES!$H74&lt;=P$4,ACTIVIDADES!$I74&gt;=P$4),"·","")))</f>
        <v/>
      </c>
      <c r="R74" s="8" t="str">
        <f>IF(OR(ACTIVIDADES!$I74="",Q$4=""),"",IF(ACTIVIDADES!$I74=Q$4,"●",IF(AND(ACTIVIDADES!$H74&lt;=Q$4,ACTIVIDADES!$I74&gt;=Q$4),"·","")))</f>
        <v/>
      </c>
      <c r="S74" s="8" t="str">
        <f>IF(OR(ACTIVIDADES!$I74="",R$4=""),"",IF(ACTIVIDADES!$I74=R$4,"●",IF(AND(ACTIVIDADES!$H74&lt;=R$4,ACTIVIDADES!$I74&gt;=R$4),"·","")))</f>
        <v/>
      </c>
      <c r="T74" s="8" t="str">
        <f>IF(OR(ACTIVIDADES!$I74="",S$4=""),"",IF(ACTIVIDADES!$I74=S$4,"●",IF(AND(ACTIVIDADES!$H74&lt;=S$4,ACTIVIDADES!$I74&gt;=S$4),"·","")))</f>
        <v/>
      </c>
      <c r="U74" s="8" t="str">
        <f>IF(OR(ACTIVIDADES!$I74="",T$4=""),"",IF(ACTIVIDADES!$I74=T$4,"●",IF(AND(ACTIVIDADES!$H74&lt;=T$4,ACTIVIDADES!$I74&gt;=T$4),"·","")))</f>
        <v/>
      </c>
      <c r="V74" s="8" t="str">
        <f>IF(OR(ACTIVIDADES!$I74="",U$4=""),"",IF(ACTIVIDADES!$I74=U$4,"●",IF(AND(ACTIVIDADES!$H74&lt;=U$4,ACTIVIDADES!$I74&gt;=U$4),"·","")))</f>
        <v/>
      </c>
      <c r="W74" s="8" t="str">
        <f>IF(OR(ACTIVIDADES!$I74="",V$4=""),"",IF(ACTIVIDADES!$I74=V$4,"●",IF(AND(ACTIVIDADES!$H74&lt;=V$4,ACTIVIDADES!$I74&gt;=V$4),"·","")))</f>
        <v/>
      </c>
      <c r="X74" s="8" t="str">
        <f>IF(OR(ACTIVIDADES!$I74="",W$4=""),"",IF(ACTIVIDADES!$I74=W$4,"●",IF(AND(ACTIVIDADES!$H74&lt;=W$4,ACTIVIDADES!$I74&gt;=W$4),"·","")))</f>
        <v/>
      </c>
      <c r="Y74" s="8" t="str">
        <f>IF(OR(ACTIVIDADES!$I74="",X$4=""),"",IF(ACTIVIDADES!$I74=X$4,"●",IF(AND(ACTIVIDADES!$H74&lt;=X$4,ACTIVIDADES!$I74&gt;=X$4),"·","")))</f>
        <v/>
      </c>
      <c r="Z74" s="8" t="str">
        <f>IF(OR(ACTIVIDADES!$I74="",Y$4=""),"",IF(ACTIVIDADES!$I74=Y$4,"●",IF(AND(ACTIVIDADES!$H74&lt;=Y$4,ACTIVIDADES!$I74&gt;=Y$4),"·","")))</f>
        <v/>
      </c>
      <c r="AA74" s="8" t="str">
        <f>IF(OR(ACTIVIDADES!$I74="",Z$4=""),"",IF(ACTIVIDADES!$I74=Z$4,"●",IF(AND(ACTIVIDADES!$H74&lt;=Z$4,ACTIVIDADES!$I74&gt;=Z$4),"·","")))</f>
        <v/>
      </c>
      <c r="AB74" s="8" t="str">
        <f>IF(OR(ACTIVIDADES!$I74="",AA$4=""),"",IF(ACTIVIDADES!$I74=AA$4,"●",IF(AND(ACTIVIDADES!$H74&lt;=AA$4,ACTIVIDADES!$I74&gt;=AA$4),"·","")))</f>
        <v/>
      </c>
      <c r="AC74" s="8" t="str">
        <f>IF(OR(ACTIVIDADES!$I74="",AB$4=""),"",IF(ACTIVIDADES!$I74=AB$4,"●",IF(AND(ACTIVIDADES!$H74&lt;=AB$4,ACTIVIDADES!$I74&gt;=AB$4),"·","")))</f>
        <v/>
      </c>
      <c r="AD74" s="8" t="str">
        <f>IF(OR(ACTIVIDADES!$I74="",AC$4=""),"",IF(ACTIVIDADES!$I74=AC$4,"●",IF(AND(ACTIVIDADES!$H74&lt;=AC$4,ACTIVIDADES!$I74&gt;=AC$4),"·","")))</f>
        <v/>
      </c>
      <c r="AE74" s="8" t="str">
        <f>IF(OR(ACTIVIDADES!$I74="",AD$4=""),"",IF(ACTIVIDADES!$I74=AD$4,"●",IF(AND(ACTIVIDADES!$H74&lt;=AD$4,ACTIVIDADES!$I74&gt;=AD$4),"·","")))</f>
        <v/>
      </c>
      <c r="AF74" s="8" t="str">
        <f>IF(OR(ACTIVIDADES!$I74="",AE$4=""),"",IF(ACTIVIDADES!$I74=AE$4,"●",IF(AND(ACTIVIDADES!$H74&lt;=AE$4,ACTIVIDADES!$I74&gt;=AE$4),"·","")))</f>
        <v/>
      </c>
      <c r="AG74" s="8" t="str">
        <f>IF(OR(ACTIVIDADES!$I74="",AF$4=""),"",IF(ACTIVIDADES!$I74=AF$4,"●",IF(AND(ACTIVIDADES!$H74&lt;=AF$4,ACTIVIDADES!$I74&gt;=AF$4),"·","")))</f>
        <v/>
      </c>
      <c r="AH74" s="8" t="str">
        <f>IF(OR(ACTIVIDADES!$I74="",AG$4=""),"",IF(ACTIVIDADES!$I74=AG$4,"●",IF(AND(ACTIVIDADES!$H74&lt;=AG$4,ACTIVIDADES!$I74&gt;=AG$4),"·","")))</f>
        <v/>
      </c>
      <c r="AI74" s="8" t="str">
        <f>IF(OR(ACTIVIDADES!$I74="",AH$4=""),"",IF(ACTIVIDADES!$I74=AH$4,"●",IF(AND(ACTIVIDADES!$H74&lt;=AH$4,ACTIVIDADES!$I74&gt;=AH$4),"·","")))</f>
        <v/>
      </c>
      <c r="AJ74" t="str">
        <f>IF(ACTIVIDADES!K74="","",ACTIVIDADES!K74)</f>
        <v>Pendiente</v>
      </c>
    </row>
    <row r="75" spans="1:36">
      <c r="A75" t="str">
        <f>IF(ACTIVIDADES!A75="","",ACTIVIDADES!A75)</f>
        <v>EX.15</v>
      </c>
      <c r="B75" t="str">
        <f>IF(ACTIVIDADES!B75="","",ACTIVIDADES!B75)</f>
        <v/>
      </c>
      <c r="C75" t="str">
        <f>IF(ACTIVIDADES!C75="","",ACTIVIDADES!C75)</f>
        <v>Extraordinaria</v>
      </c>
      <c r="D75" t="str">
        <f>IF(ACTIVIDADES!D75="","",ACTIVIDADES!D75)</f>
        <v/>
      </c>
      <c r="E75" s="8" t="str">
        <f>IF(OR(ACTIVIDADES!$I75="",D$4=""),"",IF(ACTIVIDADES!$I75=D$4,"●",IF(AND(ACTIVIDADES!$H75&lt;=D$4,ACTIVIDADES!$I75&gt;=D$4),"·","")))</f>
        <v/>
      </c>
      <c r="F75" s="8" t="str">
        <f>IF(OR(ACTIVIDADES!$I75="",E$4=""),"",IF(ACTIVIDADES!$I75=E$4,"●",IF(AND(ACTIVIDADES!$H75&lt;=E$4,ACTIVIDADES!$I75&gt;=E$4),"·","")))</f>
        <v/>
      </c>
      <c r="G75" s="8" t="str">
        <f>IF(OR(ACTIVIDADES!$I75="",F$4=""),"",IF(ACTIVIDADES!$I75=F$4,"●",IF(AND(ACTIVIDADES!$H75&lt;=F$4,ACTIVIDADES!$I75&gt;=F$4),"·","")))</f>
        <v/>
      </c>
      <c r="H75" s="8" t="str">
        <f>IF(OR(ACTIVIDADES!$I75="",G$4=""),"",IF(ACTIVIDADES!$I75=G$4,"●",IF(AND(ACTIVIDADES!$H75&lt;=G$4,ACTIVIDADES!$I75&gt;=G$4),"·","")))</f>
        <v/>
      </c>
      <c r="I75" s="8" t="str">
        <f>IF(OR(ACTIVIDADES!$I75="",H$4=""),"",IF(ACTIVIDADES!$I75=H$4,"●",IF(AND(ACTIVIDADES!$H75&lt;=H$4,ACTIVIDADES!$I75&gt;=H$4),"·","")))</f>
        <v/>
      </c>
      <c r="J75" s="8" t="str">
        <f>IF(OR(ACTIVIDADES!$I75="",I$4=""),"",IF(ACTIVIDADES!$I75=I$4,"●",IF(AND(ACTIVIDADES!$H75&lt;=I$4,ACTIVIDADES!$I75&gt;=I$4),"·","")))</f>
        <v/>
      </c>
      <c r="K75" s="8" t="str">
        <f>IF(OR(ACTIVIDADES!$I75="",J$4=""),"",IF(ACTIVIDADES!$I75=J$4,"●",IF(AND(ACTIVIDADES!$H75&lt;=J$4,ACTIVIDADES!$I75&gt;=J$4),"·","")))</f>
        <v/>
      </c>
      <c r="L75" s="8" t="str">
        <f>IF(OR(ACTIVIDADES!$I75="",K$4=""),"",IF(ACTIVIDADES!$I75=K$4,"●",IF(AND(ACTIVIDADES!$H75&lt;=K$4,ACTIVIDADES!$I75&gt;=K$4),"·","")))</f>
        <v/>
      </c>
      <c r="M75" s="8" t="str">
        <f>IF(OR(ACTIVIDADES!$I75="",L$4=""),"",IF(ACTIVIDADES!$I75=L$4,"●",IF(AND(ACTIVIDADES!$H75&lt;=L$4,ACTIVIDADES!$I75&gt;=L$4),"·","")))</f>
        <v/>
      </c>
      <c r="N75" s="8" t="str">
        <f>IF(OR(ACTIVIDADES!$I75="",M$4=""),"",IF(ACTIVIDADES!$I75=M$4,"●",IF(AND(ACTIVIDADES!$H75&lt;=M$4,ACTIVIDADES!$I75&gt;=M$4),"·","")))</f>
        <v/>
      </c>
      <c r="O75" s="8" t="str">
        <f>IF(OR(ACTIVIDADES!$I75="",N$4=""),"",IF(ACTIVIDADES!$I75=N$4,"●",IF(AND(ACTIVIDADES!$H75&lt;=N$4,ACTIVIDADES!$I75&gt;=N$4),"·","")))</f>
        <v/>
      </c>
      <c r="P75" s="8" t="str">
        <f>IF(OR(ACTIVIDADES!$I75="",O$4=""),"",IF(ACTIVIDADES!$I75=O$4,"●",IF(AND(ACTIVIDADES!$H75&lt;=O$4,ACTIVIDADES!$I75&gt;=O$4),"·","")))</f>
        <v/>
      </c>
      <c r="Q75" s="8" t="str">
        <f>IF(OR(ACTIVIDADES!$I75="",P$4=""),"",IF(ACTIVIDADES!$I75=P$4,"●",IF(AND(ACTIVIDADES!$H75&lt;=P$4,ACTIVIDADES!$I75&gt;=P$4),"·","")))</f>
        <v/>
      </c>
      <c r="R75" s="8" t="str">
        <f>IF(OR(ACTIVIDADES!$I75="",Q$4=""),"",IF(ACTIVIDADES!$I75=Q$4,"●",IF(AND(ACTIVIDADES!$H75&lt;=Q$4,ACTIVIDADES!$I75&gt;=Q$4),"·","")))</f>
        <v/>
      </c>
      <c r="S75" s="8" t="str">
        <f>IF(OR(ACTIVIDADES!$I75="",R$4=""),"",IF(ACTIVIDADES!$I75=R$4,"●",IF(AND(ACTIVIDADES!$H75&lt;=R$4,ACTIVIDADES!$I75&gt;=R$4),"·","")))</f>
        <v/>
      </c>
      <c r="T75" s="8" t="str">
        <f>IF(OR(ACTIVIDADES!$I75="",S$4=""),"",IF(ACTIVIDADES!$I75=S$4,"●",IF(AND(ACTIVIDADES!$H75&lt;=S$4,ACTIVIDADES!$I75&gt;=S$4),"·","")))</f>
        <v/>
      </c>
      <c r="U75" s="8" t="str">
        <f>IF(OR(ACTIVIDADES!$I75="",T$4=""),"",IF(ACTIVIDADES!$I75=T$4,"●",IF(AND(ACTIVIDADES!$H75&lt;=T$4,ACTIVIDADES!$I75&gt;=T$4),"·","")))</f>
        <v/>
      </c>
      <c r="V75" s="8" t="str">
        <f>IF(OR(ACTIVIDADES!$I75="",U$4=""),"",IF(ACTIVIDADES!$I75=U$4,"●",IF(AND(ACTIVIDADES!$H75&lt;=U$4,ACTIVIDADES!$I75&gt;=U$4),"·","")))</f>
        <v/>
      </c>
      <c r="W75" s="8" t="str">
        <f>IF(OR(ACTIVIDADES!$I75="",V$4=""),"",IF(ACTIVIDADES!$I75=V$4,"●",IF(AND(ACTIVIDADES!$H75&lt;=V$4,ACTIVIDADES!$I75&gt;=V$4),"·","")))</f>
        <v/>
      </c>
      <c r="X75" s="8" t="str">
        <f>IF(OR(ACTIVIDADES!$I75="",W$4=""),"",IF(ACTIVIDADES!$I75=W$4,"●",IF(AND(ACTIVIDADES!$H75&lt;=W$4,ACTIVIDADES!$I75&gt;=W$4),"·","")))</f>
        <v/>
      </c>
      <c r="Y75" s="8" t="str">
        <f>IF(OR(ACTIVIDADES!$I75="",X$4=""),"",IF(ACTIVIDADES!$I75=X$4,"●",IF(AND(ACTIVIDADES!$H75&lt;=X$4,ACTIVIDADES!$I75&gt;=X$4),"·","")))</f>
        <v/>
      </c>
      <c r="Z75" s="8" t="str">
        <f>IF(OR(ACTIVIDADES!$I75="",Y$4=""),"",IF(ACTIVIDADES!$I75=Y$4,"●",IF(AND(ACTIVIDADES!$H75&lt;=Y$4,ACTIVIDADES!$I75&gt;=Y$4),"·","")))</f>
        <v/>
      </c>
      <c r="AA75" s="8" t="str">
        <f>IF(OR(ACTIVIDADES!$I75="",Z$4=""),"",IF(ACTIVIDADES!$I75=Z$4,"●",IF(AND(ACTIVIDADES!$H75&lt;=Z$4,ACTIVIDADES!$I75&gt;=Z$4),"·","")))</f>
        <v/>
      </c>
      <c r="AB75" s="8" t="str">
        <f>IF(OR(ACTIVIDADES!$I75="",AA$4=""),"",IF(ACTIVIDADES!$I75=AA$4,"●",IF(AND(ACTIVIDADES!$H75&lt;=AA$4,ACTIVIDADES!$I75&gt;=AA$4),"·","")))</f>
        <v/>
      </c>
      <c r="AC75" s="8" t="str">
        <f>IF(OR(ACTIVIDADES!$I75="",AB$4=""),"",IF(ACTIVIDADES!$I75=AB$4,"●",IF(AND(ACTIVIDADES!$H75&lt;=AB$4,ACTIVIDADES!$I75&gt;=AB$4),"·","")))</f>
        <v/>
      </c>
      <c r="AD75" s="8" t="str">
        <f>IF(OR(ACTIVIDADES!$I75="",AC$4=""),"",IF(ACTIVIDADES!$I75=AC$4,"●",IF(AND(ACTIVIDADES!$H75&lt;=AC$4,ACTIVIDADES!$I75&gt;=AC$4),"·","")))</f>
        <v/>
      </c>
      <c r="AE75" s="8" t="str">
        <f>IF(OR(ACTIVIDADES!$I75="",AD$4=""),"",IF(ACTIVIDADES!$I75=AD$4,"●",IF(AND(ACTIVIDADES!$H75&lt;=AD$4,ACTIVIDADES!$I75&gt;=AD$4),"·","")))</f>
        <v/>
      </c>
      <c r="AF75" s="8" t="str">
        <f>IF(OR(ACTIVIDADES!$I75="",AE$4=""),"",IF(ACTIVIDADES!$I75=AE$4,"●",IF(AND(ACTIVIDADES!$H75&lt;=AE$4,ACTIVIDADES!$I75&gt;=AE$4),"·","")))</f>
        <v/>
      </c>
      <c r="AG75" s="8" t="str">
        <f>IF(OR(ACTIVIDADES!$I75="",AF$4=""),"",IF(ACTIVIDADES!$I75=AF$4,"●",IF(AND(ACTIVIDADES!$H75&lt;=AF$4,ACTIVIDADES!$I75&gt;=AF$4),"·","")))</f>
        <v/>
      </c>
      <c r="AH75" s="8" t="str">
        <f>IF(OR(ACTIVIDADES!$I75="",AG$4=""),"",IF(ACTIVIDADES!$I75=AG$4,"●",IF(AND(ACTIVIDADES!$H75&lt;=AG$4,ACTIVIDADES!$I75&gt;=AG$4),"·","")))</f>
        <v/>
      </c>
      <c r="AI75" s="8" t="str">
        <f>IF(OR(ACTIVIDADES!$I75="",AH$4=""),"",IF(ACTIVIDADES!$I75=AH$4,"●",IF(AND(ACTIVIDADES!$H75&lt;=AH$4,ACTIVIDADES!$I75&gt;=AH$4),"·","")))</f>
        <v/>
      </c>
      <c r="AJ75" t="str">
        <f>IF(ACTIVIDADES!K75="","",ACTIVIDADES!K75)</f>
        <v>Pendiente</v>
      </c>
    </row>
    <row r="76" spans="1:36">
      <c r="A76" t="str">
        <f>IF(ACTIVIDADES!A76="","",ACTIVIDADES!A76)</f>
        <v>EX.16</v>
      </c>
      <c r="B76" t="str">
        <f>IF(ACTIVIDADES!B76="","",ACTIVIDADES!B76)</f>
        <v/>
      </c>
      <c r="C76" t="str">
        <f>IF(ACTIVIDADES!C76="","",ACTIVIDADES!C76)</f>
        <v>No planificada</v>
      </c>
      <c r="D76" t="str">
        <f>IF(ACTIVIDADES!D76="","",ACTIVIDADES!D76)</f>
        <v/>
      </c>
      <c r="E76" s="8" t="str">
        <f>IF(OR(ACTIVIDADES!$I76="",D$4=""),"",IF(ACTIVIDADES!$I76=D$4,"●",IF(AND(ACTIVIDADES!$H76&lt;=D$4,ACTIVIDADES!$I76&gt;=D$4),"·","")))</f>
        <v/>
      </c>
      <c r="F76" s="8" t="str">
        <f>IF(OR(ACTIVIDADES!$I76="",E$4=""),"",IF(ACTIVIDADES!$I76=E$4,"●",IF(AND(ACTIVIDADES!$H76&lt;=E$4,ACTIVIDADES!$I76&gt;=E$4),"·","")))</f>
        <v/>
      </c>
      <c r="G76" s="8" t="str">
        <f>IF(OR(ACTIVIDADES!$I76="",F$4=""),"",IF(ACTIVIDADES!$I76=F$4,"●",IF(AND(ACTIVIDADES!$H76&lt;=F$4,ACTIVIDADES!$I76&gt;=F$4),"·","")))</f>
        <v/>
      </c>
      <c r="H76" s="8" t="str">
        <f>IF(OR(ACTIVIDADES!$I76="",G$4=""),"",IF(ACTIVIDADES!$I76=G$4,"●",IF(AND(ACTIVIDADES!$H76&lt;=G$4,ACTIVIDADES!$I76&gt;=G$4),"·","")))</f>
        <v/>
      </c>
      <c r="I76" s="8" t="str">
        <f>IF(OR(ACTIVIDADES!$I76="",H$4=""),"",IF(ACTIVIDADES!$I76=H$4,"●",IF(AND(ACTIVIDADES!$H76&lt;=H$4,ACTIVIDADES!$I76&gt;=H$4),"·","")))</f>
        <v/>
      </c>
      <c r="J76" s="8" t="str">
        <f>IF(OR(ACTIVIDADES!$I76="",I$4=""),"",IF(ACTIVIDADES!$I76=I$4,"●",IF(AND(ACTIVIDADES!$H76&lt;=I$4,ACTIVIDADES!$I76&gt;=I$4),"·","")))</f>
        <v/>
      </c>
      <c r="K76" s="8" t="str">
        <f>IF(OR(ACTIVIDADES!$I76="",J$4=""),"",IF(ACTIVIDADES!$I76=J$4,"●",IF(AND(ACTIVIDADES!$H76&lt;=J$4,ACTIVIDADES!$I76&gt;=J$4),"·","")))</f>
        <v/>
      </c>
      <c r="L76" s="8" t="str">
        <f>IF(OR(ACTIVIDADES!$I76="",K$4=""),"",IF(ACTIVIDADES!$I76=K$4,"●",IF(AND(ACTIVIDADES!$H76&lt;=K$4,ACTIVIDADES!$I76&gt;=K$4),"·","")))</f>
        <v/>
      </c>
      <c r="M76" s="8" t="str">
        <f>IF(OR(ACTIVIDADES!$I76="",L$4=""),"",IF(ACTIVIDADES!$I76=L$4,"●",IF(AND(ACTIVIDADES!$H76&lt;=L$4,ACTIVIDADES!$I76&gt;=L$4),"·","")))</f>
        <v/>
      </c>
      <c r="N76" s="8" t="str">
        <f>IF(OR(ACTIVIDADES!$I76="",M$4=""),"",IF(ACTIVIDADES!$I76=M$4,"●",IF(AND(ACTIVIDADES!$H76&lt;=M$4,ACTIVIDADES!$I76&gt;=M$4),"·","")))</f>
        <v/>
      </c>
      <c r="O76" s="8" t="str">
        <f>IF(OR(ACTIVIDADES!$I76="",N$4=""),"",IF(ACTIVIDADES!$I76=N$4,"●",IF(AND(ACTIVIDADES!$H76&lt;=N$4,ACTIVIDADES!$I76&gt;=N$4),"·","")))</f>
        <v/>
      </c>
      <c r="P76" s="8" t="str">
        <f>IF(OR(ACTIVIDADES!$I76="",O$4=""),"",IF(ACTIVIDADES!$I76=O$4,"●",IF(AND(ACTIVIDADES!$H76&lt;=O$4,ACTIVIDADES!$I76&gt;=O$4),"·","")))</f>
        <v/>
      </c>
      <c r="Q76" s="8" t="str">
        <f>IF(OR(ACTIVIDADES!$I76="",P$4=""),"",IF(ACTIVIDADES!$I76=P$4,"●",IF(AND(ACTIVIDADES!$H76&lt;=P$4,ACTIVIDADES!$I76&gt;=P$4),"·","")))</f>
        <v/>
      </c>
      <c r="R76" s="8" t="str">
        <f>IF(OR(ACTIVIDADES!$I76="",Q$4=""),"",IF(ACTIVIDADES!$I76=Q$4,"●",IF(AND(ACTIVIDADES!$H76&lt;=Q$4,ACTIVIDADES!$I76&gt;=Q$4),"·","")))</f>
        <v/>
      </c>
      <c r="S76" s="8" t="str">
        <f>IF(OR(ACTIVIDADES!$I76="",R$4=""),"",IF(ACTIVIDADES!$I76=R$4,"●",IF(AND(ACTIVIDADES!$H76&lt;=R$4,ACTIVIDADES!$I76&gt;=R$4),"·","")))</f>
        <v/>
      </c>
      <c r="T76" s="8" t="str">
        <f>IF(OR(ACTIVIDADES!$I76="",S$4=""),"",IF(ACTIVIDADES!$I76=S$4,"●",IF(AND(ACTIVIDADES!$H76&lt;=S$4,ACTIVIDADES!$I76&gt;=S$4),"·","")))</f>
        <v/>
      </c>
      <c r="U76" s="8" t="str">
        <f>IF(OR(ACTIVIDADES!$I76="",T$4=""),"",IF(ACTIVIDADES!$I76=T$4,"●",IF(AND(ACTIVIDADES!$H76&lt;=T$4,ACTIVIDADES!$I76&gt;=T$4),"·","")))</f>
        <v/>
      </c>
      <c r="V76" s="8" t="str">
        <f>IF(OR(ACTIVIDADES!$I76="",U$4=""),"",IF(ACTIVIDADES!$I76=U$4,"●",IF(AND(ACTIVIDADES!$H76&lt;=U$4,ACTIVIDADES!$I76&gt;=U$4),"·","")))</f>
        <v/>
      </c>
      <c r="W76" s="8" t="str">
        <f>IF(OR(ACTIVIDADES!$I76="",V$4=""),"",IF(ACTIVIDADES!$I76=V$4,"●",IF(AND(ACTIVIDADES!$H76&lt;=V$4,ACTIVIDADES!$I76&gt;=V$4),"·","")))</f>
        <v/>
      </c>
      <c r="X76" s="8" t="str">
        <f>IF(OR(ACTIVIDADES!$I76="",W$4=""),"",IF(ACTIVIDADES!$I76=W$4,"●",IF(AND(ACTIVIDADES!$H76&lt;=W$4,ACTIVIDADES!$I76&gt;=W$4),"·","")))</f>
        <v/>
      </c>
      <c r="Y76" s="8" t="str">
        <f>IF(OR(ACTIVIDADES!$I76="",X$4=""),"",IF(ACTIVIDADES!$I76=X$4,"●",IF(AND(ACTIVIDADES!$H76&lt;=X$4,ACTIVIDADES!$I76&gt;=X$4),"·","")))</f>
        <v/>
      </c>
      <c r="Z76" s="8" t="str">
        <f>IF(OR(ACTIVIDADES!$I76="",Y$4=""),"",IF(ACTIVIDADES!$I76=Y$4,"●",IF(AND(ACTIVIDADES!$H76&lt;=Y$4,ACTIVIDADES!$I76&gt;=Y$4),"·","")))</f>
        <v/>
      </c>
      <c r="AA76" s="8" t="str">
        <f>IF(OR(ACTIVIDADES!$I76="",Z$4=""),"",IF(ACTIVIDADES!$I76=Z$4,"●",IF(AND(ACTIVIDADES!$H76&lt;=Z$4,ACTIVIDADES!$I76&gt;=Z$4),"·","")))</f>
        <v/>
      </c>
      <c r="AB76" s="8" t="str">
        <f>IF(OR(ACTIVIDADES!$I76="",AA$4=""),"",IF(ACTIVIDADES!$I76=AA$4,"●",IF(AND(ACTIVIDADES!$H76&lt;=AA$4,ACTIVIDADES!$I76&gt;=AA$4),"·","")))</f>
        <v/>
      </c>
      <c r="AC76" s="8" t="str">
        <f>IF(OR(ACTIVIDADES!$I76="",AB$4=""),"",IF(ACTIVIDADES!$I76=AB$4,"●",IF(AND(ACTIVIDADES!$H76&lt;=AB$4,ACTIVIDADES!$I76&gt;=AB$4),"·","")))</f>
        <v/>
      </c>
      <c r="AD76" s="8" t="str">
        <f>IF(OR(ACTIVIDADES!$I76="",AC$4=""),"",IF(ACTIVIDADES!$I76=AC$4,"●",IF(AND(ACTIVIDADES!$H76&lt;=AC$4,ACTIVIDADES!$I76&gt;=AC$4),"·","")))</f>
        <v/>
      </c>
      <c r="AE76" s="8" t="str">
        <f>IF(OR(ACTIVIDADES!$I76="",AD$4=""),"",IF(ACTIVIDADES!$I76=AD$4,"●",IF(AND(ACTIVIDADES!$H76&lt;=AD$4,ACTIVIDADES!$I76&gt;=AD$4),"·","")))</f>
        <v/>
      </c>
      <c r="AF76" s="8" t="str">
        <f>IF(OR(ACTIVIDADES!$I76="",AE$4=""),"",IF(ACTIVIDADES!$I76=AE$4,"●",IF(AND(ACTIVIDADES!$H76&lt;=AE$4,ACTIVIDADES!$I76&gt;=AE$4),"·","")))</f>
        <v/>
      </c>
      <c r="AG76" s="8" t="str">
        <f>IF(OR(ACTIVIDADES!$I76="",AF$4=""),"",IF(ACTIVIDADES!$I76=AF$4,"●",IF(AND(ACTIVIDADES!$H76&lt;=AF$4,ACTIVIDADES!$I76&gt;=AF$4),"·","")))</f>
        <v/>
      </c>
      <c r="AH76" s="8" t="str">
        <f>IF(OR(ACTIVIDADES!$I76="",AG$4=""),"",IF(ACTIVIDADES!$I76=AG$4,"●",IF(AND(ACTIVIDADES!$H76&lt;=AG$4,ACTIVIDADES!$I76&gt;=AG$4),"·","")))</f>
        <v/>
      </c>
      <c r="AI76" s="8" t="str">
        <f>IF(OR(ACTIVIDADES!$I76="",AH$4=""),"",IF(ACTIVIDADES!$I76=AH$4,"●",IF(AND(ACTIVIDADES!$H76&lt;=AH$4,ACTIVIDADES!$I76&gt;=AH$4),"·","")))</f>
        <v/>
      </c>
      <c r="AJ76" t="str">
        <f>IF(ACTIVIDADES!K76="","",ACTIVIDADES!K76)</f>
        <v>Pendiente</v>
      </c>
    </row>
    <row r="77" spans="1:36">
      <c r="A77" t="str">
        <f>IF(ACTIVIDADES!A77="","",ACTIVIDADES!A77)</f>
        <v>EX.17</v>
      </c>
      <c r="B77" t="str">
        <f>IF(ACTIVIDADES!B77="","",ACTIVIDADES!B77)</f>
        <v/>
      </c>
      <c r="C77" t="str">
        <f>IF(ACTIVIDADES!C77="","",ACTIVIDADES!C77)</f>
        <v>Extraordinaria</v>
      </c>
      <c r="D77" t="str">
        <f>IF(ACTIVIDADES!D77="","",ACTIVIDADES!D77)</f>
        <v/>
      </c>
      <c r="E77" s="8" t="str">
        <f>IF(OR(ACTIVIDADES!$I77="",D$4=""),"",IF(ACTIVIDADES!$I77=D$4,"●",IF(AND(ACTIVIDADES!$H77&lt;=D$4,ACTIVIDADES!$I77&gt;=D$4),"·","")))</f>
        <v/>
      </c>
      <c r="F77" s="8" t="str">
        <f>IF(OR(ACTIVIDADES!$I77="",E$4=""),"",IF(ACTIVIDADES!$I77=E$4,"●",IF(AND(ACTIVIDADES!$H77&lt;=E$4,ACTIVIDADES!$I77&gt;=E$4),"·","")))</f>
        <v/>
      </c>
      <c r="G77" s="8" t="str">
        <f>IF(OR(ACTIVIDADES!$I77="",F$4=""),"",IF(ACTIVIDADES!$I77=F$4,"●",IF(AND(ACTIVIDADES!$H77&lt;=F$4,ACTIVIDADES!$I77&gt;=F$4),"·","")))</f>
        <v/>
      </c>
      <c r="H77" s="8" t="str">
        <f>IF(OR(ACTIVIDADES!$I77="",G$4=""),"",IF(ACTIVIDADES!$I77=G$4,"●",IF(AND(ACTIVIDADES!$H77&lt;=G$4,ACTIVIDADES!$I77&gt;=G$4),"·","")))</f>
        <v/>
      </c>
      <c r="I77" s="8" t="str">
        <f>IF(OR(ACTIVIDADES!$I77="",H$4=""),"",IF(ACTIVIDADES!$I77=H$4,"●",IF(AND(ACTIVIDADES!$H77&lt;=H$4,ACTIVIDADES!$I77&gt;=H$4),"·","")))</f>
        <v/>
      </c>
      <c r="J77" s="8" t="str">
        <f>IF(OR(ACTIVIDADES!$I77="",I$4=""),"",IF(ACTIVIDADES!$I77=I$4,"●",IF(AND(ACTIVIDADES!$H77&lt;=I$4,ACTIVIDADES!$I77&gt;=I$4),"·","")))</f>
        <v/>
      </c>
      <c r="K77" s="8" t="str">
        <f>IF(OR(ACTIVIDADES!$I77="",J$4=""),"",IF(ACTIVIDADES!$I77=J$4,"●",IF(AND(ACTIVIDADES!$H77&lt;=J$4,ACTIVIDADES!$I77&gt;=J$4),"·","")))</f>
        <v/>
      </c>
      <c r="L77" s="8" t="str">
        <f>IF(OR(ACTIVIDADES!$I77="",K$4=""),"",IF(ACTIVIDADES!$I77=K$4,"●",IF(AND(ACTIVIDADES!$H77&lt;=K$4,ACTIVIDADES!$I77&gt;=K$4),"·","")))</f>
        <v/>
      </c>
      <c r="M77" s="8" t="str">
        <f>IF(OR(ACTIVIDADES!$I77="",L$4=""),"",IF(ACTIVIDADES!$I77=L$4,"●",IF(AND(ACTIVIDADES!$H77&lt;=L$4,ACTIVIDADES!$I77&gt;=L$4),"·","")))</f>
        <v/>
      </c>
      <c r="N77" s="8" t="str">
        <f>IF(OR(ACTIVIDADES!$I77="",M$4=""),"",IF(ACTIVIDADES!$I77=M$4,"●",IF(AND(ACTIVIDADES!$H77&lt;=M$4,ACTIVIDADES!$I77&gt;=M$4),"·","")))</f>
        <v/>
      </c>
      <c r="O77" s="8" t="str">
        <f>IF(OR(ACTIVIDADES!$I77="",N$4=""),"",IF(ACTIVIDADES!$I77=N$4,"●",IF(AND(ACTIVIDADES!$H77&lt;=N$4,ACTIVIDADES!$I77&gt;=N$4),"·","")))</f>
        <v/>
      </c>
      <c r="P77" s="8" t="str">
        <f>IF(OR(ACTIVIDADES!$I77="",O$4=""),"",IF(ACTIVIDADES!$I77=O$4,"●",IF(AND(ACTIVIDADES!$H77&lt;=O$4,ACTIVIDADES!$I77&gt;=O$4),"·","")))</f>
        <v/>
      </c>
      <c r="Q77" s="8" t="str">
        <f>IF(OR(ACTIVIDADES!$I77="",P$4=""),"",IF(ACTIVIDADES!$I77=P$4,"●",IF(AND(ACTIVIDADES!$H77&lt;=P$4,ACTIVIDADES!$I77&gt;=P$4),"·","")))</f>
        <v/>
      </c>
      <c r="R77" s="8" t="str">
        <f>IF(OR(ACTIVIDADES!$I77="",Q$4=""),"",IF(ACTIVIDADES!$I77=Q$4,"●",IF(AND(ACTIVIDADES!$H77&lt;=Q$4,ACTIVIDADES!$I77&gt;=Q$4),"·","")))</f>
        <v/>
      </c>
      <c r="S77" s="8" t="str">
        <f>IF(OR(ACTIVIDADES!$I77="",R$4=""),"",IF(ACTIVIDADES!$I77=R$4,"●",IF(AND(ACTIVIDADES!$H77&lt;=R$4,ACTIVIDADES!$I77&gt;=R$4),"·","")))</f>
        <v/>
      </c>
      <c r="T77" s="8" t="str">
        <f>IF(OR(ACTIVIDADES!$I77="",S$4=""),"",IF(ACTIVIDADES!$I77=S$4,"●",IF(AND(ACTIVIDADES!$H77&lt;=S$4,ACTIVIDADES!$I77&gt;=S$4),"·","")))</f>
        <v/>
      </c>
      <c r="U77" s="8" t="str">
        <f>IF(OR(ACTIVIDADES!$I77="",T$4=""),"",IF(ACTIVIDADES!$I77=T$4,"●",IF(AND(ACTIVIDADES!$H77&lt;=T$4,ACTIVIDADES!$I77&gt;=T$4),"·","")))</f>
        <v/>
      </c>
      <c r="V77" s="8" t="str">
        <f>IF(OR(ACTIVIDADES!$I77="",U$4=""),"",IF(ACTIVIDADES!$I77=U$4,"●",IF(AND(ACTIVIDADES!$H77&lt;=U$4,ACTIVIDADES!$I77&gt;=U$4),"·","")))</f>
        <v/>
      </c>
      <c r="W77" s="8" t="str">
        <f>IF(OR(ACTIVIDADES!$I77="",V$4=""),"",IF(ACTIVIDADES!$I77=V$4,"●",IF(AND(ACTIVIDADES!$H77&lt;=V$4,ACTIVIDADES!$I77&gt;=V$4),"·","")))</f>
        <v/>
      </c>
      <c r="X77" s="8" t="str">
        <f>IF(OR(ACTIVIDADES!$I77="",W$4=""),"",IF(ACTIVIDADES!$I77=W$4,"●",IF(AND(ACTIVIDADES!$H77&lt;=W$4,ACTIVIDADES!$I77&gt;=W$4),"·","")))</f>
        <v/>
      </c>
      <c r="Y77" s="8" t="str">
        <f>IF(OR(ACTIVIDADES!$I77="",X$4=""),"",IF(ACTIVIDADES!$I77=X$4,"●",IF(AND(ACTIVIDADES!$H77&lt;=X$4,ACTIVIDADES!$I77&gt;=X$4),"·","")))</f>
        <v/>
      </c>
      <c r="Z77" s="8" t="str">
        <f>IF(OR(ACTIVIDADES!$I77="",Y$4=""),"",IF(ACTIVIDADES!$I77=Y$4,"●",IF(AND(ACTIVIDADES!$H77&lt;=Y$4,ACTIVIDADES!$I77&gt;=Y$4),"·","")))</f>
        <v/>
      </c>
      <c r="AA77" s="8" t="str">
        <f>IF(OR(ACTIVIDADES!$I77="",Z$4=""),"",IF(ACTIVIDADES!$I77=Z$4,"●",IF(AND(ACTIVIDADES!$H77&lt;=Z$4,ACTIVIDADES!$I77&gt;=Z$4),"·","")))</f>
        <v/>
      </c>
      <c r="AB77" s="8" t="str">
        <f>IF(OR(ACTIVIDADES!$I77="",AA$4=""),"",IF(ACTIVIDADES!$I77=AA$4,"●",IF(AND(ACTIVIDADES!$H77&lt;=AA$4,ACTIVIDADES!$I77&gt;=AA$4),"·","")))</f>
        <v/>
      </c>
      <c r="AC77" s="8" t="str">
        <f>IF(OR(ACTIVIDADES!$I77="",AB$4=""),"",IF(ACTIVIDADES!$I77=AB$4,"●",IF(AND(ACTIVIDADES!$H77&lt;=AB$4,ACTIVIDADES!$I77&gt;=AB$4),"·","")))</f>
        <v/>
      </c>
      <c r="AD77" s="8" t="str">
        <f>IF(OR(ACTIVIDADES!$I77="",AC$4=""),"",IF(ACTIVIDADES!$I77=AC$4,"●",IF(AND(ACTIVIDADES!$H77&lt;=AC$4,ACTIVIDADES!$I77&gt;=AC$4),"·","")))</f>
        <v/>
      </c>
      <c r="AE77" s="8" t="str">
        <f>IF(OR(ACTIVIDADES!$I77="",AD$4=""),"",IF(ACTIVIDADES!$I77=AD$4,"●",IF(AND(ACTIVIDADES!$H77&lt;=AD$4,ACTIVIDADES!$I77&gt;=AD$4),"·","")))</f>
        <v/>
      </c>
      <c r="AF77" s="8" t="str">
        <f>IF(OR(ACTIVIDADES!$I77="",AE$4=""),"",IF(ACTIVIDADES!$I77=AE$4,"●",IF(AND(ACTIVIDADES!$H77&lt;=AE$4,ACTIVIDADES!$I77&gt;=AE$4),"·","")))</f>
        <v/>
      </c>
      <c r="AG77" s="8" t="str">
        <f>IF(OR(ACTIVIDADES!$I77="",AF$4=""),"",IF(ACTIVIDADES!$I77=AF$4,"●",IF(AND(ACTIVIDADES!$H77&lt;=AF$4,ACTIVIDADES!$I77&gt;=AF$4),"·","")))</f>
        <v/>
      </c>
      <c r="AH77" s="8" t="str">
        <f>IF(OR(ACTIVIDADES!$I77="",AG$4=""),"",IF(ACTIVIDADES!$I77=AG$4,"●",IF(AND(ACTIVIDADES!$H77&lt;=AG$4,ACTIVIDADES!$I77&gt;=AG$4),"·","")))</f>
        <v/>
      </c>
      <c r="AI77" s="8" t="str">
        <f>IF(OR(ACTIVIDADES!$I77="",AH$4=""),"",IF(ACTIVIDADES!$I77=AH$4,"●",IF(AND(ACTIVIDADES!$H77&lt;=AH$4,ACTIVIDADES!$I77&gt;=AH$4),"·","")))</f>
        <v/>
      </c>
      <c r="AJ77" t="str">
        <f>IF(ACTIVIDADES!K77="","",ACTIVIDADES!K77)</f>
        <v>Pendiente</v>
      </c>
    </row>
    <row r="78" spans="1:36">
      <c r="A78" t="str">
        <f>IF(ACTIVIDADES!A78="","",ACTIVIDADES!A78)</f>
        <v>EX.18</v>
      </c>
      <c r="B78" t="str">
        <f>IF(ACTIVIDADES!B78="","",ACTIVIDADES!B78)</f>
        <v/>
      </c>
      <c r="C78" t="str">
        <f>IF(ACTIVIDADES!C78="","",ACTIVIDADES!C78)</f>
        <v>No planificada</v>
      </c>
      <c r="D78" t="str">
        <f>IF(ACTIVIDADES!D78="","",ACTIVIDADES!D78)</f>
        <v/>
      </c>
      <c r="E78" s="8" t="str">
        <f>IF(OR(ACTIVIDADES!$I78="",D$4=""),"",IF(ACTIVIDADES!$I78=D$4,"●",IF(AND(ACTIVIDADES!$H78&lt;=D$4,ACTIVIDADES!$I78&gt;=D$4),"·","")))</f>
        <v/>
      </c>
      <c r="F78" s="8" t="str">
        <f>IF(OR(ACTIVIDADES!$I78="",E$4=""),"",IF(ACTIVIDADES!$I78=E$4,"●",IF(AND(ACTIVIDADES!$H78&lt;=E$4,ACTIVIDADES!$I78&gt;=E$4),"·","")))</f>
        <v/>
      </c>
      <c r="G78" s="8" t="str">
        <f>IF(OR(ACTIVIDADES!$I78="",F$4=""),"",IF(ACTIVIDADES!$I78=F$4,"●",IF(AND(ACTIVIDADES!$H78&lt;=F$4,ACTIVIDADES!$I78&gt;=F$4),"·","")))</f>
        <v/>
      </c>
      <c r="H78" s="8" t="str">
        <f>IF(OR(ACTIVIDADES!$I78="",G$4=""),"",IF(ACTIVIDADES!$I78=G$4,"●",IF(AND(ACTIVIDADES!$H78&lt;=G$4,ACTIVIDADES!$I78&gt;=G$4),"·","")))</f>
        <v/>
      </c>
      <c r="I78" s="8" t="str">
        <f>IF(OR(ACTIVIDADES!$I78="",H$4=""),"",IF(ACTIVIDADES!$I78=H$4,"●",IF(AND(ACTIVIDADES!$H78&lt;=H$4,ACTIVIDADES!$I78&gt;=H$4),"·","")))</f>
        <v/>
      </c>
      <c r="J78" s="8" t="str">
        <f>IF(OR(ACTIVIDADES!$I78="",I$4=""),"",IF(ACTIVIDADES!$I78=I$4,"●",IF(AND(ACTIVIDADES!$H78&lt;=I$4,ACTIVIDADES!$I78&gt;=I$4),"·","")))</f>
        <v/>
      </c>
      <c r="K78" s="8" t="str">
        <f>IF(OR(ACTIVIDADES!$I78="",J$4=""),"",IF(ACTIVIDADES!$I78=J$4,"●",IF(AND(ACTIVIDADES!$H78&lt;=J$4,ACTIVIDADES!$I78&gt;=J$4),"·","")))</f>
        <v/>
      </c>
      <c r="L78" s="8" t="str">
        <f>IF(OR(ACTIVIDADES!$I78="",K$4=""),"",IF(ACTIVIDADES!$I78=K$4,"●",IF(AND(ACTIVIDADES!$H78&lt;=K$4,ACTIVIDADES!$I78&gt;=K$4),"·","")))</f>
        <v/>
      </c>
      <c r="M78" s="8" t="str">
        <f>IF(OR(ACTIVIDADES!$I78="",L$4=""),"",IF(ACTIVIDADES!$I78=L$4,"●",IF(AND(ACTIVIDADES!$H78&lt;=L$4,ACTIVIDADES!$I78&gt;=L$4),"·","")))</f>
        <v/>
      </c>
      <c r="N78" s="8" t="str">
        <f>IF(OR(ACTIVIDADES!$I78="",M$4=""),"",IF(ACTIVIDADES!$I78=M$4,"●",IF(AND(ACTIVIDADES!$H78&lt;=M$4,ACTIVIDADES!$I78&gt;=M$4),"·","")))</f>
        <v/>
      </c>
      <c r="O78" s="8" t="str">
        <f>IF(OR(ACTIVIDADES!$I78="",N$4=""),"",IF(ACTIVIDADES!$I78=N$4,"●",IF(AND(ACTIVIDADES!$H78&lt;=N$4,ACTIVIDADES!$I78&gt;=N$4),"·","")))</f>
        <v/>
      </c>
      <c r="P78" s="8" t="str">
        <f>IF(OR(ACTIVIDADES!$I78="",O$4=""),"",IF(ACTIVIDADES!$I78=O$4,"●",IF(AND(ACTIVIDADES!$H78&lt;=O$4,ACTIVIDADES!$I78&gt;=O$4),"·","")))</f>
        <v/>
      </c>
      <c r="Q78" s="8" t="str">
        <f>IF(OR(ACTIVIDADES!$I78="",P$4=""),"",IF(ACTIVIDADES!$I78=P$4,"●",IF(AND(ACTIVIDADES!$H78&lt;=P$4,ACTIVIDADES!$I78&gt;=P$4),"·","")))</f>
        <v/>
      </c>
      <c r="R78" s="8" t="str">
        <f>IF(OR(ACTIVIDADES!$I78="",Q$4=""),"",IF(ACTIVIDADES!$I78=Q$4,"●",IF(AND(ACTIVIDADES!$H78&lt;=Q$4,ACTIVIDADES!$I78&gt;=Q$4),"·","")))</f>
        <v/>
      </c>
      <c r="S78" s="8" t="str">
        <f>IF(OR(ACTIVIDADES!$I78="",R$4=""),"",IF(ACTIVIDADES!$I78=R$4,"●",IF(AND(ACTIVIDADES!$H78&lt;=R$4,ACTIVIDADES!$I78&gt;=R$4),"·","")))</f>
        <v/>
      </c>
      <c r="T78" s="8" t="str">
        <f>IF(OR(ACTIVIDADES!$I78="",S$4=""),"",IF(ACTIVIDADES!$I78=S$4,"●",IF(AND(ACTIVIDADES!$H78&lt;=S$4,ACTIVIDADES!$I78&gt;=S$4),"·","")))</f>
        <v/>
      </c>
      <c r="U78" s="8" t="str">
        <f>IF(OR(ACTIVIDADES!$I78="",T$4=""),"",IF(ACTIVIDADES!$I78=T$4,"●",IF(AND(ACTIVIDADES!$H78&lt;=T$4,ACTIVIDADES!$I78&gt;=T$4),"·","")))</f>
        <v/>
      </c>
      <c r="V78" s="8" t="str">
        <f>IF(OR(ACTIVIDADES!$I78="",U$4=""),"",IF(ACTIVIDADES!$I78=U$4,"●",IF(AND(ACTIVIDADES!$H78&lt;=U$4,ACTIVIDADES!$I78&gt;=U$4),"·","")))</f>
        <v/>
      </c>
      <c r="W78" s="8" t="str">
        <f>IF(OR(ACTIVIDADES!$I78="",V$4=""),"",IF(ACTIVIDADES!$I78=V$4,"●",IF(AND(ACTIVIDADES!$H78&lt;=V$4,ACTIVIDADES!$I78&gt;=V$4),"·","")))</f>
        <v/>
      </c>
      <c r="X78" s="8" t="str">
        <f>IF(OR(ACTIVIDADES!$I78="",W$4=""),"",IF(ACTIVIDADES!$I78=W$4,"●",IF(AND(ACTIVIDADES!$H78&lt;=W$4,ACTIVIDADES!$I78&gt;=W$4),"·","")))</f>
        <v/>
      </c>
      <c r="Y78" s="8" t="str">
        <f>IF(OR(ACTIVIDADES!$I78="",X$4=""),"",IF(ACTIVIDADES!$I78=X$4,"●",IF(AND(ACTIVIDADES!$H78&lt;=X$4,ACTIVIDADES!$I78&gt;=X$4),"·","")))</f>
        <v/>
      </c>
      <c r="Z78" s="8" t="str">
        <f>IF(OR(ACTIVIDADES!$I78="",Y$4=""),"",IF(ACTIVIDADES!$I78=Y$4,"●",IF(AND(ACTIVIDADES!$H78&lt;=Y$4,ACTIVIDADES!$I78&gt;=Y$4),"·","")))</f>
        <v/>
      </c>
      <c r="AA78" s="8" t="str">
        <f>IF(OR(ACTIVIDADES!$I78="",Z$4=""),"",IF(ACTIVIDADES!$I78=Z$4,"●",IF(AND(ACTIVIDADES!$H78&lt;=Z$4,ACTIVIDADES!$I78&gt;=Z$4),"·","")))</f>
        <v/>
      </c>
      <c r="AB78" s="8" t="str">
        <f>IF(OR(ACTIVIDADES!$I78="",AA$4=""),"",IF(ACTIVIDADES!$I78=AA$4,"●",IF(AND(ACTIVIDADES!$H78&lt;=AA$4,ACTIVIDADES!$I78&gt;=AA$4),"·","")))</f>
        <v/>
      </c>
      <c r="AC78" s="8" t="str">
        <f>IF(OR(ACTIVIDADES!$I78="",AB$4=""),"",IF(ACTIVIDADES!$I78=AB$4,"●",IF(AND(ACTIVIDADES!$H78&lt;=AB$4,ACTIVIDADES!$I78&gt;=AB$4),"·","")))</f>
        <v/>
      </c>
      <c r="AD78" s="8" t="str">
        <f>IF(OR(ACTIVIDADES!$I78="",AC$4=""),"",IF(ACTIVIDADES!$I78=AC$4,"●",IF(AND(ACTIVIDADES!$H78&lt;=AC$4,ACTIVIDADES!$I78&gt;=AC$4),"·","")))</f>
        <v/>
      </c>
      <c r="AE78" s="8" t="str">
        <f>IF(OR(ACTIVIDADES!$I78="",AD$4=""),"",IF(ACTIVIDADES!$I78=AD$4,"●",IF(AND(ACTIVIDADES!$H78&lt;=AD$4,ACTIVIDADES!$I78&gt;=AD$4),"·","")))</f>
        <v/>
      </c>
      <c r="AF78" s="8" t="str">
        <f>IF(OR(ACTIVIDADES!$I78="",AE$4=""),"",IF(ACTIVIDADES!$I78=AE$4,"●",IF(AND(ACTIVIDADES!$H78&lt;=AE$4,ACTIVIDADES!$I78&gt;=AE$4),"·","")))</f>
        <v/>
      </c>
      <c r="AG78" s="8" t="str">
        <f>IF(OR(ACTIVIDADES!$I78="",AF$4=""),"",IF(ACTIVIDADES!$I78=AF$4,"●",IF(AND(ACTIVIDADES!$H78&lt;=AF$4,ACTIVIDADES!$I78&gt;=AF$4),"·","")))</f>
        <v/>
      </c>
      <c r="AH78" s="8" t="str">
        <f>IF(OR(ACTIVIDADES!$I78="",AG$4=""),"",IF(ACTIVIDADES!$I78=AG$4,"●",IF(AND(ACTIVIDADES!$H78&lt;=AG$4,ACTIVIDADES!$I78&gt;=AG$4),"·","")))</f>
        <v/>
      </c>
      <c r="AI78" s="8" t="str">
        <f>IF(OR(ACTIVIDADES!$I78="",AH$4=""),"",IF(ACTIVIDADES!$I78=AH$4,"●",IF(AND(ACTIVIDADES!$H78&lt;=AH$4,ACTIVIDADES!$I78&gt;=AH$4),"·","")))</f>
        <v/>
      </c>
      <c r="AJ78" t="str">
        <f>IF(ACTIVIDADES!K78="","",ACTIVIDADES!K78)</f>
        <v>Pendiente</v>
      </c>
    </row>
    <row r="79" spans="1:36">
      <c r="A79" t="str">
        <f>IF(ACTIVIDADES!A79="","",ACTIVIDADES!A79)</f>
        <v>EX.19</v>
      </c>
      <c r="B79" t="str">
        <f>IF(ACTIVIDADES!B79="","",ACTIVIDADES!B79)</f>
        <v/>
      </c>
      <c r="C79" t="str">
        <f>IF(ACTIVIDADES!C79="","",ACTIVIDADES!C79)</f>
        <v>Extraordinaria</v>
      </c>
      <c r="D79" t="str">
        <f>IF(ACTIVIDADES!D79="","",ACTIVIDADES!D79)</f>
        <v/>
      </c>
      <c r="E79" s="8" t="str">
        <f>IF(OR(ACTIVIDADES!$I79="",D$4=""),"",IF(ACTIVIDADES!$I79=D$4,"●",IF(AND(ACTIVIDADES!$H79&lt;=D$4,ACTIVIDADES!$I79&gt;=D$4),"·","")))</f>
        <v/>
      </c>
      <c r="F79" s="8" t="str">
        <f>IF(OR(ACTIVIDADES!$I79="",E$4=""),"",IF(ACTIVIDADES!$I79=E$4,"●",IF(AND(ACTIVIDADES!$H79&lt;=E$4,ACTIVIDADES!$I79&gt;=E$4),"·","")))</f>
        <v/>
      </c>
      <c r="G79" s="8" t="str">
        <f>IF(OR(ACTIVIDADES!$I79="",F$4=""),"",IF(ACTIVIDADES!$I79=F$4,"●",IF(AND(ACTIVIDADES!$H79&lt;=F$4,ACTIVIDADES!$I79&gt;=F$4),"·","")))</f>
        <v/>
      </c>
      <c r="H79" s="8" t="str">
        <f>IF(OR(ACTIVIDADES!$I79="",G$4=""),"",IF(ACTIVIDADES!$I79=G$4,"●",IF(AND(ACTIVIDADES!$H79&lt;=G$4,ACTIVIDADES!$I79&gt;=G$4),"·","")))</f>
        <v/>
      </c>
      <c r="I79" s="8" t="str">
        <f>IF(OR(ACTIVIDADES!$I79="",H$4=""),"",IF(ACTIVIDADES!$I79=H$4,"●",IF(AND(ACTIVIDADES!$H79&lt;=H$4,ACTIVIDADES!$I79&gt;=H$4),"·","")))</f>
        <v/>
      </c>
      <c r="J79" s="8" t="str">
        <f>IF(OR(ACTIVIDADES!$I79="",I$4=""),"",IF(ACTIVIDADES!$I79=I$4,"●",IF(AND(ACTIVIDADES!$H79&lt;=I$4,ACTIVIDADES!$I79&gt;=I$4),"·","")))</f>
        <v/>
      </c>
      <c r="K79" s="8" t="str">
        <f>IF(OR(ACTIVIDADES!$I79="",J$4=""),"",IF(ACTIVIDADES!$I79=J$4,"●",IF(AND(ACTIVIDADES!$H79&lt;=J$4,ACTIVIDADES!$I79&gt;=J$4),"·","")))</f>
        <v/>
      </c>
      <c r="L79" s="8" t="str">
        <f>IF(OR(ACTIVIDADES!$I79="",K$4=""),"",IF(ACTIVIDADES!$I79=K$4,"●",IF(AND(ACTIVIDADES!$H79&lt;=K$4,ACTIVIDADES!$I79&gt;=K$4),"·","")))</f>
        <v/>
      </c>
      <c r="M79" s="8" t="str">
        <f>IF(OR(ACTIVIDADES!$I79="",L$4=""),"",IF(ACTIVIDADES!$I79=L$4,"●",IF(AND(ACTIVIDADES!$H79&lt;=L$4,ACTIVIDADES!$I79&gt;=L$4),"·","")))</f>
        <v/>
      </c>
      <c r="N79" s="8" t="str">
        <f>IF(OR(ACTIVIDADES!$I79="",M$4=""),"",IF(ACTIVIDADES!$I79=M$4,"●",IF(AND(ACTIVIDADES!$H79&lt;=M$4,ACTIVIDADES!$I79&gt;=M$4),"·","")))</f>
        <v/>
      </c>
      <c r="O79" s="8" t="str">
        <f>IF(OR(ACTIVIDADES!$I79="",N$4=""),"",IF(ACTIVIDADES!$I79=N$4,"●",IF(AND(ACTIVIDADES!$H79&lt;=N$4,ACTIVIDADES!$I79&gt;=N$4),"·","")))</f>
        <v/>
      </c>
      <c r="P79" s="8" t="str">
        <f>IF(OR(ACTIVIDADES!$I79="",O$4=""),"",IF(ACTIVIDADES!$I79=O$4,"●",IF(AND(ACTIVIDADES!$H79&lt;=O$4,ACTIVIDADES!$I79&gt;=O$4),"·","")))</f>
        <v/>
      </c>
      <c r="Q79" s="8" t="str">
        <f>IF(OR(ACTIVIDADES!$I79="",P$4=""),"",IF(ACTIVIDADES!$I79=P$4,"●",IF(AND(ACTIVIDADES!$H79&lt;=P$4,ACTIVIDADES!$I79&gt;=P$4),"·","")))</f>
        <v/>
      </c>
      <c r="R79" s="8" t="str">
        <f>IF(OR(ACTIVIDADES!$I79="",Q$4=""),"",IF(ACTIVIDADES!$I79=Q$4,"●",IF(AND(ACTIVIDADES!$H79&lt;=Q$4,ACTIVIDADES!$I79&gt;=Q$4),"·","")))</f>
        <v/>
      </c>
      <c r="S79" s="8" t="str">
        <f>IF(OR(ACTIVIDADES!$I79="",R$4=""),"",IF(ACTIVIDADES!$I79=R$4,"●",IF(AND(ACTIVIDADES!$H79&lt;=R$4,ACTIVIDADES!$I79&gt;=R$4),"·","")))</f>
        <v/>
      </c>
      <c r="T79" s="8" t="str">
        <f>IF(OR(ACTIVIDADES!$I79="",S$4=""),"",IF(ACTIVIDADES!$I79=S$4,"●",IF(AND(ACTIVIDADES!$H79&lt;=S$4,ACTIVIDADES!$I79&gt;=S$4),"·","")))</f>
        <v/>
      </c>
      <c r="U79" s="8" t="str">
        <f>IF(OR(ACTIVIDADES!$I79="",T$4=""),"",IF(ACTIVIDADES!$I79=T$4,"●",IF(AND(ACTIVIDADES!$H79&lt;=T$4,ACTIVIDADES!$I79&gt;=T$4),"·","")))</f>
        <v/>
      </c>
      <c r="V79" s="8" t="str">
        <f>IF(OR(ACTIVIDADES!$I79="",U$4=""),"",IF(ACTIVIDADES!$I79=U$4,"●",IF(AND(ACTIVIDADES!$H79&lt;=U$4,ACTIVIDADES!$I79&gt;=U$4),"·","")))</f>
        <v/>
      </c>
      <c r="W79" s="8" t="str">
        <f>IF(OR(ACTIVIDADES!$I79="",V$4=""),"",IF(ACTIVIDADES!$I79=V$4,"●",IF(AND(ACTIVIDADES!$H79&lt;=V$4,ACTIVIDADES!$I79&gt;=V$4),"·","")))</f>
        <v/>
      </c>
      <c r="X79" s="8" t="str">
        <f>IF(OR(ACTIVIDADES!$I79="",W$4=""),"",IF(ACTIVIDADES!$I79=W$4,"●",IF(AND(ACTIVIDADES!$H79&lt;=W$4,ACTIVIDADES!$I79&gt;=W$4),"·","")))</f>
        <v/>
      </c>
      <c r="Y79" s="8" t="str">
        <f>IF(OR(ACTIVIDADES!$I79="",X$4=""),"",IF(ACTIVIDADES!$I79=X$4,"●",IF(AND(ACTIVIDADES!$H79&lt;=X$4,ACTIVIDADES!$I79&gt;=X$4),"·","")))</f>
        <v/>
      </c>
      <c r="Z79" s="8" t="str">
        <f>IF(OR(ACTIVIDADES!$I79="",Y$4=""),"",IF(ACTIVIDADES!$I79=Y$4,"●",IF(AND(ACTIVIDADES!$H79&lt;=Y$4,ACTIVIDADES!$I79&gt;=Y$4),"·","")))</f>
        <v/>
      </c>
      <c r="AA79" s="8" t="str">
        <f>IF(OR(ACTIVIDADES!$I79="",Z$4=""),"",IF(ACTIVIDADES!$I79=Z$4,"●",IF(AND(ACTIVIDADES!$H79&lt;=Z$4,ACTIVIDADES!$I79&gt;=Z$4),"·","")))</f>
        <v/>
      </c>
      <c r="AB79" s="8" t="str">
        <f>IF(OR(ACTIVIDADES!$I79="",AA$4=""),"",IF(ACTIVIDADES!$I79=AA$4,"●",IF(AND(ACTIVIDADES!$H79&lt;=AA$4,ACTIVIDADES!$I79&gt;=AA$4),"·","")))</f>
        <v/>
      </c>
      <c r="AC79" s="8" t="str">
        <f>IF(OR(ACTIVIDADES!$I79="",AB$4=""),"",IF(ACTIVIDADES!$I79=AB$4,"●",IF(AND(ACTIVIDADES!$H79&lt;=AB$4,ACTIVIDADES!$I79&gt;=AB$4),"·","")))</f>
        <v/>
      </c>
      <c r="AD79" s="8" t="str">
        <f>IF(OR(ACTIVIDADES!$I79="",AC$4=""),"",IF(ACTIVIDADES!$I79=AC$4,"●",IF(AND(ACTIVIDADES!$H79&lt;=AC$4,ACTIVIDADES!$I79&gt;=AC$4),"·","")))</f>
        <v/>
      </c>
      <c r="AE79" s="8" t="str">
        <f>IF(OR(ACTIVIDADES!$I79="",AD$4=""),"",IF(ACTIVIDADES!$I79=AD$4,"●",IF(AND(ACTIVIDADES!$H79&lt;=AD$4,ACTIVIDADES!$I79&gt;=AD$4),"·","")))</f>
        <v/>
      </c>
      <c r="AF79" s="8" t="str">
        <f>IF(OR(ACTIVIDADES!$I79="",AE$4=""),"",IF(ACTIVIDADES!$I79=AE$4,"●",IF(AND(ACTIVIDADES!$H79&lt;=AE$4,ACTIVIDADES!$I79&gt;=AE$4),"·","")))</f>
        <v/>
      </c>
      <c r="AG79" s="8" t="str">
        <f>IF(OR(ACTIVIDADES!$I79="",AF$4=""),"",IF(ACTIVIDADES!$I79=AF$4,"●",IF(AND(ACTIVIDADES!$H79&lt;=AF$4,ACTIVIDADES!$I79&gt;=AF$4),"·","")))</f>
        <v/>
      </c>
      <c r="AH79" s="8" t="str">
        <f>IF(OR(ACTIVIDADES!$I79="",AG$4=""),"",IF(ACTIVIDADES!$I79=AG$4,"●",IF(AND(ACTIVIDADES!$H79&lt;=AG$4,ACTIVIDADES!$I79&gt;=AG$4),"·","")))</f>
        <v/>
      </c>
      <c r="AI79" s="8" t="str">
        <f>IF(OR(ACTIVIDADES!$I79="",AH$4=""),"",IF(ACTIVIDADES!$I79=AH$4,"●",IF(AND(ACTIVIDADES!$H79&lt;=AH$4,ACTIVIDADES!$I79&gt;=AH$4),"·","")))</f>
        <v/>
      </c>
      <c r="AJ79" t="str">
        <f>IF(ACTIVIDADES!K79="","",ACTIVIDADES!K79)</f>
        <v>Pendiente</v>
      </c>
    </row>
    <row r="80" spans="1:36">
      <c r="A80" t="str">
        <f>IF(ACTIVIDADES!A80="","",ACTIVIDADES!A80)</f>
        <v>EX.20</v>
      </c>
      <c r="B80" t="str">
        <f>IF(ACTIVIDADES!B80="","",ACTIVIDADES!B80)</f>
        <v/>
      </c>
      <c r="C80" t="str">
        <f>IF(ACTIVIDADES!C80="","",ACTIVIDADES!C80)</f>
        <v>No planificada</v>
      </c>
      <c r="D80" t="str">
        <f>IF(ACTIVIDADES!D80="","",ACTIVIDADES!D80)</f>
        <v/>
      </c>
      <c r="E80" s="8" t="str">
        <f>IF(OR(ACTIVIDADES!$I80="",D$4=""),"",IF(ACTIVIDADES!$I80=D$4,"●",IF(AND(ACTIVIDADES!$H80&lt;=D$4,ACTIVIDADES!$I80&gt;=D$4),"·","")))</f>
        <v/>
      </c>
      <c r="F80" s="8" t="str">
        <f>IF(OR(ACTIVIDADES!$I80="",E$4=""),"",IF(ACTIVIDADES!$I80=E$4,"●",IF(AND(ACTIVIDADES!$H80&lt;=E$4,ACTIVIDADES!$I80&gt;=E$4),"·","")))</f>
        <v/>
      </c>
      <c r="G80" s="8" t="str">
        <f>IF(OR(ACTIVIDADES!$I80="",F$4=""),"",IF(ACTIVIDADES!$I80=F$4,"●",IF(AND(ACTIVIDADES!$H80&lt;=F$4,ACTIVIDADES!$I80&gt;=F$4),"·","")))</f>
        <v/>
      </c>
      <c r="H80" s="8" t="str">
        <f>IF(OR(ACTIVIDADES!$I80="",G$4=""),"",IF(ACTIVIDADES!$I80=G$4,"●",IF(AND(ACTIVIDADES!$H80&lt;=G$4,ACTIVIDADES!$I80&gt;=G$4),"·","")))</f>
        <v/>
      </c>
      <c r="I80" s="8" t="str">
        <f>IF(OR(ACTIVIDADES!$I80="",H$4=""),"",IF(ACTIVIDADES!$I80=H$4,"●",IF(AND(ACTIVIDADES!$H80&lt;=H$4,ACTIVIDADES!$I80&gt;=H$4),"·","")))</f>
        <v/>
      </c>
      <c r="J80" s="8" t="str">
        <f>IF(OR(ACTIVIDADES!$I80="",I$4=""),"",IF(ACTIVIDADES!$I80=I$4,"●",IF(AND(ACTIVIDADES!$H80&lt;=I$4,ACTIVIDADES!$I80&gt;=I$4),"·","")))</f>
        <v/>
      </c>
      <c r="K80" s="8" t="str">
        <f>IF(OR(ACTIVIDADES!$I80="",J$4=""),"",IF(ACTIVIDADES!$I80=J$4,"●",IF(AND(ACTIVIDADES!$H80&lt;=J$4,ACTIVIDADES!$I80&gt;=J$4),"·","")))</f>
        <v/>
      </c>
      <c r="L80" s="8" t="str">
        <f>IF(OR(ACTIVIDADES!$I80="",K$4=""),"",IF(ACTIVIDADES!$I80=K$4,"●",IF(AND(ACTIVIDADES!$H80&lt;=K$4,ACTIVIDADES!$I80&gt;=K$4),"·","")))</f>
        <v/>
      </c>
      <c r="M80" s="8" t="str">
        <f>IF(OR(ACTIVIDADES!$I80="",L$4=""),"",IF(ACTIVIDADES!$I80=L$4,"●",IF(AND(ACTIVIDADES!$H80&lt;=L$4,ACTIVIDADES!$I80&gt;=L$4),"·","")))</f>
        <v/>
      </c>
      <c r="N80" s="8" t="str">
        <f>IF(OR(ACTIVIDADES!$I80="",M$4=""),"",IF(ACTIVIDADES!$I80=M$4,"●",IF(AND(ACTIVIDADES!$H80&lt;=M$4,ACTIVIDADES!$I80&gt;=M$4),"·","")))</f>
        <v/>
      </c>
      <c r="O80" s="8" t="str">
        <f>IF(OR(ACTIVIDADES!$I80="",N$4=""),"",IF(ACTIVIDADES!$I80=N$4,"●",IF(AND(ACTIVIDADES!$H80&lt;=N$4,ACTIVIDADES!$I80&gt;=N$4),"·","")))</f>
        <v/>
      </c>
      <c r="P80" s="8" t="str">
        <f>IF(OR(ACTIVIDADES!$I80="",O$4=""),"",IF(ACTIVIDADES!$I80=O$4,"●",IF(AND(ACTIVIDADES!$H80&lt;=O$4,ACTIVIDADES!$I80&gt;=O$4),"·","")))</f>
        <v/>
      </c>
      <c r="Q80" s="8" t="str">
        <f>IF(OR(ACTIVIDADES!$I80="",P$4=""),"",IF(ACTIVIDADES!$I80=P$4,"●",IF(AND(ACTIVIDADES!$H80&lt;=P$4,ACTIVIDADES!$I80&gt;=P$4),"·","")))</f>
        <v/>
      </c>
      <c r="R80" s="8" t="str">
        <f>IF(OR(ACTIVIDADES!$I80="",Q$4=""),"",IF(ACTIVIDADES!$I80=Q$4,"●",IF(AND(ACTIVIDADES!$H80&lt;=Q$4,ACTIVIDADES!$I80&gt;=Q$4),"·","")))</f>
        <v/>
      </c>
      <c r="S80" s="8" t="str">
        <f>IF(OR(ACTIVIDADES!$I80="",R$4=""),"",IF(ACTIVIDADES!$I80=R$4,"●",IF(AND(ACTIVIDADES!$H80&lt;=R$4,ACTIVIDADES!$I80&gt;=R$4),"·","")))</f>
        <v/>
      </c>
      <c r="T80" s="8" t="str">
        <f>IF(OR(ACTIVIDADES!$I80="",S$4=""),"",IF(ACTIVIDADES!$I80=S$4,"●",IF(AND(ACTIVIDADES!$H80&lt;=S$4,ACTIVIDADES!$I80&gt;=S$4),"·","")))</f>
        <v/>
      </c>
      <c r="U80" s="8" t="str">
        <f>IF(OR(ACTIVIDADES!$I80="",T$4=""),"",IF(ACTIVIDADES!$I80=T$4,"●",IF(AND(ACTIVIDADES!$H80&lt;=T$4,ACTIVIDADES!$I80&gt;=T$4),"·","")))</f>
        <v/>
      </c>
      <c r="V80" s="8" t="str">
        <f>IF(OR(ACTIVIDADES!$I80="",U$4=""),"",IF(ACTIVIDADES!$I80=U$4,"●",IF(AND(ACTIVIDADES!$H80&lt;=U$4,ACTIVIDADES!$I80&gt;=U$4),"·","")))</f>
        <v/>
      </c>
      <c r="W80" s="8" t="str">
        <f>IF(OR(ACTIVIDADES!$I80="",V$4=""),"",IF(ACTIVIDADES!$I80=V$4,"●",IF(AND(ACTIVIDADES!$H80&lt;=V$4,ACTIVIDADES!$I80&gt;=V$4),"·","")))</f>
        <v/>
      </c>
      <c r="X80" s="8" t="str">
        <f>IF(OR(ACTIVIDADES!$I80="",W$4=""),"",IF(ACTIVIDADES!$I80=W$4,"●",IF(AND(ACTIVIDADES!$H80&lt;=W$4,ACTIVIDADES!$I80&gt;=W$4),"·","")))</f>
        <v/>
      </c>
      <c r="Y80" s="8" t="str">
        <f>IF(OR(ACTIVIDADES!$I80="",X$4=""),"",IF(ACTIVIDADES!$I80=X$4,"●",IF(AND(ACTIVIDADES!$H80&lt;=X$4,ACTIVIDADES!$I80&gt;=X$4),"·","")))</f>
        <v/>
      </c>
      <c r="Z80" s="8" t="str">
        <f>IF(OR(ACTIVIDADES!$I80="",Y$4=""),"",IF(ACTIVIDADES!$I80=Y$4,"●",IF(AND(ACTIVIDADES!$H80&lt;=Y$4,ACTIVIDADES!$I80&gt;=Y$4),"·","")))</f>
        <v/>
      </c>
      <c r="AA80" s="8" t="str">
        <f>IF(OR(ACTIVIDADES!$I80="",Z$4=""),"",IF(ACTIVIDADES!$I80=Z$4,"●",IF(AND(ACTIVIDADES!$H80&lt;=Z$4,ACTIVIDADES!$I80&gt;=Z$4),"·","")))</f>
        <v/>
      </c>
      <c r="AB80" s="8" t="str">
        <f>IF(OR(ACTIVIDADES!$I80="",AA$4=""),"",IF(ACTIVIDADES!$I80=AA$4,"●",IF(AND(ACTIVIDADES!$H80&lt;=AA$4,ACTIVIDADES!$I80&gt;=AA$4),"·","")))</f>
        <v/>
      </c>
      <c r="AC80" s="8" t="str">
        <f>IF(OR(ACTIVIDADES!$I80="",AB$4=""),"",IF(ACTIVIDADES!$I80=AB$4,"●",IF(AND(ACTIVIDADES!$H80&lt;=AB$4,ACTIVIDADES!$I80&gt;=AB$4),"·","")))</f>
        <v/>
      </c>
      <c r="AD80" s="8" t="str">
        <f>IF(OR(ACTIVIDADES!$I80="",AC$4=""),"",IF(ACTIVIDADES!$I80=AC$4,"●",IF(AND(ACTIVIDADES!$H80&lt;=AC$4,ACTIVIDADES!$I80&gt;=AC$4),"·","")))</f>
        <v/>
      </c>
      <c r="AE80" s="8" t="str">
        <f>IF(OR(ACTIVIDADES!$I80="",AD$4=""),"",IF(ACTIVIDADES!$I80=AD$4,"●",IF(AND(ACTIVIDADES!$H80&lt;=AD$4,ACTIVIDADES!$I80&gt;=AD$4),"·","")))</f>
        <v/>
      </c>
      <c r="AF80" s="8" t="str">
        <f>IF(OR(ACTIVIDADES!$I80="",AE$4=""),"",IF(ACTIVIDADES!$I80=AE$4,"●",IF(AND(ACTIVIDADES!$H80&lt;=AE$4,ACTIVIDADES!$I80&gt;=AE$4),"·","")))</f>
        <v/>
      </c>
      <c r="AG80" s="8" t="str">
        <f>IF(OR(ACTIVIDADES!$I80="",AF$4=""),"",IF(ACTIVIDADES!$I80=AF$4,"●",IF(AND(ACTIVIDADES!$H80&lt;=AF$4,ACTIVIDADES!$I80&gt;=AF$4),"·","")))</f>
        <v/>
      </c>
      <c r="AH80" s="8" t="str">
        <f>IF(OR(ACTIVIDADES!$I80="",AG$4=""),"",IF(ACTIVIDADES!$I80=AG$4,"●",IF(AND(ACTIVIDADES!$H80&lt;=AG$4,ACTIVIDADES!$I80&gt;=AG$4),"·","")))</f>
        <v/>
      </c>
      <c r="AI80" s="8" t="str">
        <f>IF(OR(ACTIVIDADES!$I80="",AH$4=""),"",IF(ACTIVIDADES!$I80=AH$4,"●",IF(AND(ACTIVIDADES!$H80&lt;=AH$4,ACTIVIDADES!$I80&gt;=AH$4),"·","")))</f>
        <v/>
      </c>
      <c r="AJ80" t="str">
        <f>IF(ACTIVIDADES!K80="","",ACTIVIDADES!K80)</f>
        <v>Pendiente</v>
      </c>
    </row>
    <row r="81" spans="1:36">
      <c r="A81" t="str">
        <f>IF(ACTIVIDADES!A81="","",ACTIVIDADES!A81)</f>
        <v>EX.21</v>
      </c>
      <c r="B81" t="str">
        <f>IF(ACTIVIDADES!B81="","",ACTIVIDADES!B81)</f>
        <v/>
      </c>
      <c r="C81" t="str">
        <f>IF(ACTIVIDADES!C81="","",ACTIVIDADES!C81)</f>
        <v>Extraordinaria</v>
      </c>
      <c r="D81" t="str">
        <f>IF(ACTIVIDADES!D81="","",ACTIVIDADES!D81)</f>
        <v/>
      </c>
      <c r="E81" s="8" t="str">
        <f>IF(OR(ACTIVIDADES!$I81="",D$4=""),"",IF(ACTIVIDADES!$I81=D$4,"●",IF(AND(ACTIVIDADES!$H81&lt;=D$4,ACTIVIDADES!$I81&gt;=D$4),"·","")))</f>
        <v/>
      </c>
      <c r="F81" s="8" t="str">
        <f>IF(OR(ACTIVIDADES!$I81="",E$4=""),"",IF(ACTIVIDADES!$I81=E$4,"●",IF(AND(ACTIVIDADES!$H81&lt;=E$4,ACTIVIDADES!$I81&gt;=E$4),"·","")))</f>
        <v/>
      </c>
      <c r="G81" s="8" t="str">
        <f>IF(OR(ACTIVIDADES!$I81="",F$4=""),"",IF(ACTIVIDADES!$I81=F$4,"●",IF(AND(ACTIVIDADES!$H81&lt;=F$4,ACTIVIDADES!$I81&gt;=F$4),"·","")))</f>
        <v/>
      </c>
      <c r="H81" s="8" t="str">
        <f>IF(OR(ACTIVIDADES!$I81="",G$4=""),"",IF(ACTIVIDADES!$I81=G$4,"●",IF(AND(ACTIVIDADES!$H81&lt;=G$4,ACTIVIDADES!$I81&gt;=G$4),"·","")))</f>
        <v/>
      </c>
      <c r="I81" s="8" t="str">
        <f>IF(OR(ACTIVIDADES!$I81="",H$4=""),"",IF(ACTIVIDADES!$I81=H$4,"●",IF(AND(ACTIVIDADES!$H81&lt;=H$4,ACTIVIDADES!$I81&gt;=H$4),"·","")))</f>
        <v/>
      </c>
      <c r="J81" s="8" t="str">
        <f>IF(OR(ACTIVIDADES!$I81="",I$4=""),"",IF(ACTIVIDADES!$I81=I$4,"●",IF(AND(ACTIVIDADES!$H81&lt;=I$4,ACTIVIDADES!$I81&gt;=I$4),"·","")))</f>
        <v/>
      </c>
      <c r="K81" s="8" t="str">
        <f>IF(OR(ACTIVIDADES!$I81="",J$4=""),"",IF(ACTIVIDADES!$I81=J$4,"●",IF(AND(ACTIVIDADES!$H81&lt;=J$4,ACTIVIDADES!$I81&gt;=J$4),"·","")))</f>
        <v/>
      </c>
      <c r="L81" s="8" t="str">
        <f>IF(OR(ACTIVIDADES!$I81="",K$4=""),"",IF(ACTIVIDADES!$I81=K$4,"●",IF(AND(ACTIVIDADES!$H81&lt;=K$4,ACTIVIDADES!$I81&gt;=K$4),"·","")))</f>
        <v/>
      </c>
      <c r="M81" s="8" t="str">
        <f>IF(OR(ACTIVIDADES!$I81="",L$4=""),"",IF(ACTIVIDADES!$I81=L$4,"●",IF(AND(ACTIVIDADES!$H81&lt;=L$4,ACTIVIDADES!$I81&gt;=L$4),"·","")))</f>
        <v/>
      </c>
      <c r="N81" s="8" t="str">
        <f>IF(OR(ACTIVIDADES!$I81="",M$4=""),"",IF(ACTIVIDADES!$I81=M$4,"●",IF(AND(ACTIVIDADES!$H81&lt;=M$4,ACTIVIDADES!$I81&gt;=M$4),"·","")))</f>
        <v/>
      </c>
      <c r="O81" s="8" t="str">
        <f>IF(OR(ACTIVIDADES!$I81="",N$4=""),"",IF(ACTIVIDADES!$I81=N$4,"●",IF(AND(ACTIVIDADES!$H81&lt;=N$4,ACTIVIDADES!$I81&gt;=N$4),"·","")))</f>
        <v/>
      </c>
      <c r="P81" s="8" t="str">
        <f>IF(OR(ACTIVIDADES!$I81="",O$4=""),"",IF(ACTIVIDADES!$I81=O$4,"●",IF(AND(ACTIVIDADES!$H81&lt;=O$4,ACTIVIDADES!$I81&gt;=O$4),"·","")))</f>
        <v/>
      </c>
      <c r="Q81" s="8" t="str">
        <f>IF(OR(ACTIVIDADES!$I81="",P$4=""),"",IF(ACTIVIDADES!$I81=P$4,"●",IF(AND(ACTIVIDADES!$H81&lt;=P$4,ACTIVIDADES!$I81&gt;=P$4),"·","")))</f>
        <v/>
      </c>
      <c r="R81" s="8" t="str">
        <f>IF(OR(ACTIVIDADES!$I81="",Q$4=""),"",IF(ACTIVIDADES!$I81=Q$4,"●",IF(AND(ACTIVIDADES!$H81&lt;=Q$4,ACTIVIDADES!$I81&gt;=Q$4),"·","")))</f>
        <v/>
      </c>
      <c r="S81" s="8" t="str">
        <f>IF(OR(ACTIVIDADES!$I81="",R$4=""),"",IF(ACTIVIDADES!$I81=R$4,"●",IF(AND(ACTIVIDADES!$H81&lt;=R$4,ACTIVIDADES!$I81&gt;=R$4),"·","")))</f>
        <v/>
      </c>
      <c r="T81" s="8" t="str">
        <f>IF(OR(ACTIVIDADES!$I81="",S$4=""),"",IF(ACTIVIDADES!$I81=S$4,"●",IF(AND(ACTIVIDADES!$H81&lt;=S$4,ACTIVIDADES!$I81&gt;=S$4),"·","")))</f>
        <v/>
      </c>
      <c r="U81" s="8" t="str">
        <f>IF(OR(ACTIVIDADES!$I81="",T$4=""),"",IF(ACTIVIDADES!$I81=T$4,"●",IF(AND(ACTIVIDADES!$H81&lt;=T$4,ACTIVIDADES!$I81&gt;=T$4),"·","")))</f>
        <v/>
      </c>
      <c r="V81" s="8" t="str">
        <f>IF(OR(ACTIVIDADES!$I81="",U$4=""),"",IF(ACTIVIDADES!$I81=U$4,"●",IF(AND(ACTIVIDADES!$H81&lt;=U$4,ACTIVIDADES!$I81&gt;=U$4),"·","")))</f>
        <v/>
      </c>
      <c r="W81" s="8" t="str">
        <f>IF(OR(ACTIVIDADES!$I81="",V$4=""),"",IF(ACTIVIDADES!$I81=V$4,"●",IF(AND(ACTIVIDADES!$H81&lt;=V$4,ACTIVIDADES!$I81&gt;=V$4),"·","")))</f>
        <v/>
      </c>
      <c r="X81" s="8" t="str">
        <f>IF(OR(ACTIVIDADES!$I81="",W$4=""),"",IF(ACTIVIDADES!$I81=W$4,"●",IF(AND(ACTIVIDADES!$H81&lt;=W$4,ACTIVIDADES!$I81&gt;=W$4),"·","")))</f>
        <v/>
      </c>
      <c r="Y81" s="8" t="str">
        <f>IF(OR(ACTIVIDADES!$I81="",X$4=""),"",IF(ACTIVIDADES!$I81=X$4,"●",IF(AND(ACTIVIDADES!$H81&lt;=X$4,ACTIVIDADES!$I81&gt;=X$4),"·","")))</f>
        <v/>
      </c>
      <c r="Z81" s="8" t="str">
        <f>IF(OR(ACTIVIDADES!$I81="",Y$4=""),"",IF(ACTIVIDADES!$I81=Y$4,"●",IF(AND(ACTIVIDADES!$H81&lt;=Y$4,ACTIVIDADES!$I81&gt;=Y$4),"·","")))</f>
        <v/>
      </c>
      <c r="AA81" s="8" t="str">
        <f>IF(OR(ACTIVIDADES!$I81="",Z$4=""),"",IF(ACTIVIDADES!$I81=Z$4,"●",IF(AND(ACTIVIDADES!$H81&lt;=Z$4,ACTIVIDADES!$I81&gt;=Z$4),"·","")))</f>
        <v/>
      </c>
      <c r="AB81" s="8" t="str">
        <f>IF(OR(ACTIVIDADES!$I81="",AA$4=""),"",IF(ACTIVIDADES!$I81=AA$4,"●",IF(AND(ACTIVIDADES!$H81&lt;=AA$4,ACTIVIDADES!$I81&gt;=AA$4),"·","")))</f>
        <v/>
      </c>
      <c r="AC81" s="8" t="str">
        <f>IF(OR(ACTIVIDADES!$I81="",AB$4=""),"",IF(ACTIVIDADES!$I81=AB$4,"●",IF(AND(ACTIVIDADES!$H81&lt;=AB$4,ACTIVIDADES!$I81&gt;=AB$4),"·","")))</f>
        <v/>
      </c>
      <c r="AD81" s="8" t="str">
        <f>IF(OR(ACTIVIDADES!$I81="",AC$4=""),"",IF(ACTIVIDADES!$I81=AC$4,"●",IF(AND(ACTIVIDADES!$H81&lt;=AC$4,ACTIVIDADES!$I81&gt;=AC$4),"·","")))</f>
        <v/>
      </c>
      <c r="AE81" s="8" t="str">
        <f>IF(OR(ACTIVIDADES!$I81="",AD$4=""),"",IF(ACTIVIDADES!$I81=AD$4,"●",IF(AND(ACTIVIDADES!$H81&lt;=AD$4,ACTIVIDADES!$I81&gt;=AD$4),"·","")))</f>
        <v/>
      </c>
      <c r="AF81" s="8" t="str">
        <f>IF(OR(ACTIVIDADES!$I81="",AE$4=""),"",IF(ACTIVIDADES!$I81=AE$4,"●",IF(AND(ACTIVIDADES!$H81&lt;=AE$4,ACTIVIDADES!$I81&gt;=AE$4),"·","")))</f>
        <v/>
      </c>
      <c r="AG81" s="8" t="str">
        <f>IF(OR(ACTIVIDADES!$I81="",AF$4=""),"",IF(ACTIVIDADES!$I81=AF$4,"●",IF(AND(ACTIVIDADES!$H81&lt;=AF$4,ACTIVIDADES!$I81&gt;=AF$4),"·","")))</f>
        <v/>
      </c>
      <c r="AH81" s="8" t="str">
        <f>IF(OR(ACTIVIDADES!$I81="",AG$4=""),"",IF(ACTIVIDADES!$I81=AG$4,"●",IF(AND(ACTIVIDADES!$H81&lt;=AG$4,ACTIVIDADES!$I81&gt;=AG$4),"·","")))</f>
        <v/>
      </c>
      <c r="AI81" s="8" t="str">
        <f>IF(OR(ACTIVIDADES!$I81="",AH$4=""),"",IF(ACTIVIDADES!$I81=AH$4,"●",IF(AND(ACTIVIDADES!$H81&lt;=AH$4,ACTIVIDADES!$I81&gt;=AH$4),"·","")))</f>
        <v/>
      </c>
      <c r="AJ81" t="str">
        <f>IF(ACTIVIDADES!K81="","",ACTIVIDADES!K81)</f>
        <v>Pendiente</v>
      </c>
    </row>
    <row r="82" spans="1:36">
      <c r="A82" t="str">
        <f>IF(ACTIVIDADES!A82="","",ACTIVIDADES!A82)</f>
        <v>EX.22</v>
      </c>
      <c r="B82" t="str">
        <f>IF(ACTIVIDADES!B82="","",ACTIVIDADES!B82)</f>
        <v/>
      </c>
      <c r="C82" t="str">
        <f>IF(ACTIVIDADES!C82="","",ACTIVIDADES!C82)</f>
        <v>No planificada</v>
      </c>
      <c r="D82" t="str">
        <f>IF(ACTIVIDADES!D82="","",ACTIVIDADES!D82)</f>
        <v/>
      </c>
      <c r="E82" s="8" t="str">
        <f>IF(OR(ACTIVIDADES!$I82="",D$4=""),"",IF(ACTIVIDADES!$I82=D$4,"●",IF(AND(ACTIVIDADES!$H82&lt;=D$4,ACTIVIDADES!$I82&gt;=D$4),"·","")))</f>
        <v/>
      </c>
      <c r="F82" s="8" t="str">
        <f>IF(OR(ACTIVIDADES!$I82="",E$4=""),"",IF(ACTIVIDADES!$I82=E$4,"●",IF(AND(ACTIVIDADES!$H82&lt;=E$4,ACTIVIDADES!$I82&gt;=E$4),"·","")))</f>
        <v/>
      </c>
      <c r="G82" s="8" t="str">
        <f>IF(OR(ACTIVIDADES!$I82="",F$4=""),"",IF(ACTIVIDADES!$I82=F$4,"●",IF(AND(ACTIVIDADES!$H82&lt;=F$4,ACTIVIDADES!$I82&gt;=F$4),"·","")))</f>
        <v/>
      </c>
      <c r="H82" s="8" t="str">
        <f>IF(OR(ACTIVIDADES!$I82="",G$4=""),"",IF(ACTIVIDADES!$I82=G$4,"●",IF(AND(ACTIVIDADES!$H82&lt;=G$4,ACTIVIDADES!$I82&gt;=G$4),"·","")))</f>
        <v/>
      </c>
      <c r="I82" s="8" t="str">
        <f>IF(OR(ACTIVIDADES!$I82="",H$4=""),"",IF(ACTIVIDADES!$I82=H$4,"●",IF(AND(ACTIVIDADES!$H82&lt;=H$4,ACTIVIDADES!$I82&gt;=H$4),"·","")))</f>
        <v/>
      </c>
      <c r="J82" s="8" t="str">
        <f>IF(OR(ACTIVIDADES!$I82="",I$4=""),"",IF(ACTIVIDADES!$I82=I$4,"●",IF(AND(ACTIVIDADES!$H82&lt;=I$4,ACTIVIDADES!$I82&gt;=I$4),"·","")))</f>
        <v/>
      </c>
      <c r="K82" s="8" t="str">
        <f>IF(OR(ACTIVIDADES!$I82="",J$4=""),"",IF(ACTIVIDADES!$I82=J$4,"●",IF(AND(ACTIVIDADES!$H82&lt;=J$4,ACTIVIDADES!$I82&gt;=J$4),"·","")))</f>
        <v/>
      </c>
      <c r="L82" s="8" t="str">
        <f>IF(OR(ACTIVIDADES!$I82="",K$4=""),"",IF(ACTIVIDADES!$I82=K$4,"●",IF(AND(ACTIVIDADES!$H82&lt;=K$4,ACTIVIDADES!$I82&gt;=K$4),"·","")))</f>
        <v/>
      </c>
      <c r="M82" s="8" t="str">
        <f>IF(OR(ACTIVIDADES!$I82="",L$4=""),"",IF(ACTIVIDADES!$I82=L$4,"●",IF(AND(ACTIVIDADES!$H82&lt;=L$4,ACTIVIDADES!$I82&gt;=L$4),"·","")))</f>
        <v/>
      </c>
      <c r="N82" s="8" t="str">
        <f>IF(OR(ACTIVIDADES!$I82="",M$4=""),"",IF(ACTIVIDADES!$I82=M$4,"●",IF(AND(ACTIVIDADES!$H82&lt;=M$4,ACTIVIDADES!$I82&gt;=M$4),"·","")))</f>
        <v/>
      </c>
      <c r="O82" s="8" t="str">
        <f>IF(OR(ACTIVIDADES!$I82="",N$4=""),"",IF(ACTIVIDADES!$I82=N$4,"●",IF(AND(ACTIVIDADES!$H82&lt;=N$4,ACTIVIDADES!$I82&gt;=N$4),"·","")))</f>
        <v/>
      </c>
      <c r="P82" s="8" t="str">
        <f>IF(OR(ACTIVIDADES!$I82="",O$4=""),"",IF(ACTIVIDADES!$I82=O$4,"●",IF(AND(ACTIVIDADES!$H82&lt;=O$4,ACTIVIDADES!$I82&gt;=O$4),"·","")))</f>
        <v/>
      </c>
      <c r="Q82" s="8" t="str">
        <f>IF(OR(ACTIVIDADES!$I82="",P$4=""),"",IF(ACTIVIDADES!$I82=P$4,"●",IF(AND(ACTIVIDADES!$H82&lt;=P$4,ACTIVIDADES!$I82&gt;=P$4),"·","")))</f>
        <v/>
      </c>
      <c r="R82" s="8" t="str">
        <f>IF(OR(ACTIVIDADES!$I82="",Q$4=""),"",IF(ACTIVIDADES!$I82=Q$4,"●",IF(AND(ACTIVIDADES!$H82&lt;=Q$4,ACTIVIDADES!$I82&gt;=Q$4),"·","")))</f>
        <v/>
      </c>
      <c r="S82" s="8" t="str">
        <f>IF(OR(ACTIVIDADES!$I82="",R$4=""),"",IF(ACTIVIDADES!$I82=R$4,"●",IF(AND(ACTIVIDADES!$H82&lt;=R$4,ACTIVIDADES!$I82&gt;=R$4),"·","")))</f>
        <v/>
      </c>
      <c r="T82" s="8" t="str">
        <f>IF(OR(ACTIVIDADES!$I82="",S$4=""),"",IF(ACTIVIDADES!$I82=S$4,"●",IF(AND(ACTIVIDADES!$H82&lt;=S$4,ACTIVIDADES!$I82&gt;=S$4),"·","")))</f>
        <v/>
      </c>
      <c r="U82" s="8" t="str">
        <f>IF(OR(ACTIVIDADES!$I82="",T$4=""),"",IF(ACTIVIDADES!$I82=T$4,"●",IF(AND(ACTIVIDADES!$H82&lt;=T$4,ACTIVIDADES!$I82&gt;=T$4),"·","")))</f>
        <v/>
      </c>
      <c r="V82" s="8" t="str">
        <f>IF(OR(ACTIVIDADES!$I82="",U$4=""),"",IF(ACTIVIDADES!$I82=U$4,"●",IF(AND(ACTIVIDADES!$H82&lt;=U$4,ACTIVIDADES!$I82&gt;=U$4),"·","")))</f>
        <v/>
      </c>
      <c r="W82" s="8" t="str">
        <f>IF(OR(ACTIVIDADES!$I82="",V$4=""),"",IF(ACTIVIDADES!$I82=V$4,"●",IF(AND(ACTIVIDADES!$H82&lt;=V$4,ACTIVIDADES!$I82&gt;=V$4),"·","")))</f>
        <v/>
      </c>
      <c r="X82" s="8" t="str">
        <f>IF(OR(ACTIVIDADES!$I82="",W$4=""),"",IF(ACTIVIDADES!$I82=W$4,"●",IF(AND(ACTIVIDADES!$H82&lt;=W$4,ACTIVIDADES!$I82&gt;=W$4),"·","")))</f>
        <v/>
      </c>
      <c r="Y82" s="8" t="str">
        <f>IF(OR(ACTIVIDADES!$I82="",X$4=""),"",IF(ACTIVIDADES!$I82=X$4,"●",IF(AND(ACTIVIDADES!$H82&lt;=X$4,ACTIVIDADES!$I82&gt;=X$4),"·","")))</f>
        <v/>
      </c>
      <c r="Z82" s="8" t="str">
        <f>IF(OR(ACTIVIDADES!$I82="",Y$4=""),"",IF(ACTIVIDADES!$I82=Y$4,"●",IF(AND(ACTIVIDADES!$H82&lt;=Y$4,ACTIVIDADES!$I82&gt;=Y$4),"·","")))</f>
        <v/>
      </c>
      <c r="AA82" s="8" t="str">
        <f>IF(OR(ACTIVIDADES!$I82="",Z$4=""),"",IF(ACTIVIDADES!$I82=Z$4,"●",IF(AND(ACTIVIDADES!$H82&lt;=Z$4,ACTIVIDADES!$I82&gt;=Z$4),"·","")))</f>
        <v/>
      </c>
      <c r="AB82" s="8" t="str">
        <f>IF(OR(ACTIVIDADES!$I82="",AA$4=""),"",IF(ACTIVIDADES!$I82=AA$4,"●",IF(AND(ACTIVIDADES!$H82&lt;=AA$4,ACTIVIDADES!$I82&gt;=AA$4),"·","")))</f>
        <v/>
      </c>
      <c r="AC82" s="8" t="str">
        <f>IF(OR(ACTIVIDADES!$I82="",AB$4=""),"",IF(ACTIVIDADES!$I82=AB$4,"●",IF(AND(ACTIVIDADES!$H82&lt;=AB$4,ACTIVIDADES!$I82&gt;=AB$4),"·","")))</f>
        <v/>
      </c>
      <c r="AD82" s="8" t="str">
        <f>IF(OR(ACTIVIDADES!$I82="",AC$4=""),"",IF(ACTIVIDADES!$I82=AC$4,"●",IF(AND(ACTIVIDADES!$H82&lt;=AC$4,ACTIVIDADES!$I82&gt;=AC$4),"·","")))</f>
        <v/>
      </c>
      <c r="AE82" s="8" t="str">
        <f>IF(OR(ACTIVIDADES!$I82="",AD$4=""),"",IF(ACTIVIDADES!$I82=AD$4,"●",IF(AND(ACTIVIDADES!$H82&lt;=AD$4,ACTIVIDADES!$I82&gt;=AD$4),"·","")))</f>
        <v/>
      </c>
      <c r="AF82" s="8" t="str">
        <f>IF(OR(ACTIVIDADES!$I82="",AE$4=""),"",IF(ACTIVIDADES!$I82=AE$4,"●",IF(AND(ACTIVIDADES!$H82&lt;=AE$4,ACTIVIDADES!$I82&gt;=AE$4),"·","")))</f>
        <v/>
      </c>
      <c r="AG82" s="8" t="str">
        <f>IF(OR(ACTIVIDADES!$I82="",AF$4=""),"",IF(ACTIVIDADES!$I82=AF$4,"●",IF(AND(ACTIVIDADES!$H82&lt;=AF$4,ACTIVIDADES!$I82&gt;=AF$4),"·","")))</f>
        <v/>
      </c>
      <c r="AH82" s="8" t="str">
        <f>IF(OR(ACTIVIDADES!$I82="",AG$4=""),"",IF(ACTIVIDADES!$I82=AG$4,"●",IF(AND(ACTIVIDADES!$H82&lt;=AG$4,ACTIVIDADES!$I82&gt;=AG$4),"·","")))</f>
        <v/>
      </c>
      <c r="AI82" s="8" t="str">
        <f>IF(OR(ACTIVIDADES!$I82="",AH$4=""),"",IF(ACTIVIDADES!$I82=AH$4,"●",IF(AND(ACTIVIDADES!$H82&lt;=AH$4,ACTIVIDADES!$I82&gt;=AH$4),"·","")))</f>
        <v/>
      </c>
      <c r="AJ82" t="str">
        <f>IF(ACTIVIDADES!K82="","",ACTIVIDADES!K82)</f>
        <v>Pendiente</v>
      </c>
    </row>
    <row r="83" spans="1:36">
      <c r="A83" t="str">
        <f>IF(ACTIVIDADES!A83="","",ACTIVIDADES!A83)</f>
        <v>EX.23</v>
      </c>
      <c r="B83" t="str">
        <f>IF(ACTIVIDADES!B83="","",ACTIVIDADES!B83)</f>
        <v/>
      </c>
      <c r="C83" t="str">
        <f>IF(ACTIVIDADES!C83="","",ACTIVIDADES!C83)</f>
        <v>Extraordinaria</v>
      </c>
      <c r="D83" t="str">
        <f>IF(ACTIVIDADES!D83="","",ACTIVIDADES!D83)</f>
        <v/>
      </c>
      <c r="E83" s="8" t="str">
        <f>IF(OR(ACTIVIDADES!$I83="",D$4=""),"",IF(ACTIVIDADES!$I83=D$4,"●",IF(AND(ACTIVIDADES!$H83&lt;=D$4,ACTIVIDADES!$I83&gt;=D$4),"·","")))</f>
        <v/>
      </c>
      <c r="F83" s="8" t="str">
        <f>IF(OR(ACTIVIDADES!$I83="",E$4=""),"",IF(ACTIVIDADES!$I83=E$4,"●",IF(AND(ACTIVIDADES!$H83&lt;=E$4,ACTIVIDADES!$I83&gt;=E$4),"·","")))</f>
        <v/>
      </c>
      <c r="G83" s="8" t="str">
        <f>IF(OR(ACTIVIDADES!$I83="",F$4=""),"",IF(ACTIVIDADES!$I83=F$4,"●",IF(AND(ACTIVIDADES!$H83&lt;=F$4,ACTIVIDADES!$I83&gt;=F$4),"·","")))</f>
        <v/>
      </c>
      <c r="H83" s="8" t="str">
        <f>IF(OR(ACTIVIDADES!$I83="",G$4=""),"",IF(ACTIVIDADES!$I83=G$4,"●",IF(AND(ACTIVIDADES!$H83&lt;=G$4,ACTIVIDADES!$I83&gt;=G$4),"·","")))</f>
        <v/>
      </c>
      <c r="I83" s="8" t="str">
        <f>IF(OR(ACTIVIDADES!$I83="",H$4=""),"",IF(ACTIVIDADES!$I83=H$4,"●",IF(AND(ACTIVIDADES!$H83&lt;=H$4,ACTIVIDADES!$I83&gt;=H$4),"·","")))</f>
        <v/>
      </c>
      <c r="J83" s="8" t="str">
        <f>IF(OR(ACTIVIDADES!$I83="",I$4=""),"",IF(ACTIVIDADES!$I83=I$4,"●",IF(AND(ACTIVIDADES!$H83&lt;=I$4,ACTIVIDADES!$I83&gt;=I$4),"·","")))</f>
        <v/>
      </c>
      <c r="K83" s="8" t="str">
        <f>IF(OR(ACTIVIDADES!$I83="",J$4=""),"",IF(ACTIVIDADES!$I83=J$4,"●",IF(AND(ACTIVIDADES!$H83&lt;=J$4,ACTIVIDADES!$I83&gt;=J$4),"·","")))</f>
        <v/>
      </c>
      <c r="L83" s="8" t="str">
        <f>IF(OR(ACTIVIDADES!$I83="",K$4=""),"",IF(ACTIVIDADES!$I83=K$4,"●",IF(AND(ACTIVIDADES!$H83&lt;=K$4,ACTIVIDADES!$I83&gt;=K$4),"·","")))</f>
        <v/>
      </c>
      <c r="M83" s="8" t="str">
        <f>IF(OR(ACTIVIDADES!$I83="",L$4=""),"",IF(ACTIVIDADES!$I83=L$4,"●",IF(AND(ACTIVIDADES!$H83&lt;=L$4,ACTIVIDADES!$I83&gt;=L$4),"·","")))</f>
        <v/>
      </c>
      <c r="N83" s="8" t="str">
        <f>IF(OR(ACTIVIDADES!$I83="",M$4=""),"",IF(ACTIVIDADES!$I83=M$4,"●",IF(AND(ACTIVIDADES!$H83&lt;=M$4,ACTIVIDADES!$I83&gt;=M$4),"·","")))</f>
        <v/>
      </c>
      <c r="O83" s="8" t="str">
        <f>IF(OR(ACTIVIDADES!$I83="",N$4=""),"",IF(ACTIVIDADES!$I83=N$4,"●",IF(AND(ACTIVIDADES!$H83&lt;=N$4,ACTIVIDADES!$I83&gt;=N$4),"·","")))</f>
        <v/>
      </c>
      <c r="P83" s="8" t="str">
        <f>IF(OR(ACTIVIDADES!$I83="",O$4=""),"",IF(ACTIVIDADES!$I83=O$4,"●",IF(AND(ACTIVIDADES!$H83&lt;=O$4,ACTIVIDADES!$I83&gt;=O$4),"·","")))</f>
        <v/>
      </c>
      <c r="Q83" s="8" t="str">
        <f>IF(OR(ACTIVIDADES!$I83="",P$4=""),"",IF(ACTIVIDADES!$I83=P$4,"●",IF(AND(ACTIVIDADES!$H83&lt;=P$4,ACTIVIDADES!$I83&gt;=P$4),"·","")))</f>
        <v/>
      </c>
      <c r="R83" s="8" t="str">
        <f>IF(OR(ACTIVIDADES!$I83="",Q$4=""),"",IF(ACTIVIDADES!$I83=Q$4,"●",IF(AND(ACTIVIDADES!$H83&lt;=Q$4,ACTIVIDADES!$I83&gt;=Q$4),"·","")))</f>
        <v/>
      </c>
      <c r="S83" s="8" t="str">
        <f>IF(OR(ACTIVIDADES!$I83="",R$4=""),"",IF(ACTIVIDADES!$I83=R$4,"●",IF(AND(ACTIVIDADES!$H83&lt;=R$4,ACTIVIDADES!$I83&gt;=R$4),"·","")))</f>
        <v/>
      </c>
      <c r="T83" s="8" t="str">
        <f>IF(OR(ACTIVIDADES!$I83="",S$4=""),"",IF(ACTIVIDADES!$I83=S$4,"●",IF(AND(ACTIVIDADES!$H83&lt;=S$4,ACTIVIDADES!$I83&gt;=S$4),"·","")))</f>
        <v/>
      </c>
      <c r="U83" s="8" t="str">
        <f>IF(OR(ACTIVIDADES!$I83="",T$4=""),"",IF(ACTIVIDADES!$I83=T$4,"●",IF(AND(ACTIVIDADES!$H83&lt;=T$4,ACTIVIDADES!$I83&gt;=T$4),"·","")))</f>
        <v/>
      </c>
      <c r="V83" s="8" t="str">
        <f>IF(OR(ACTIVIDADES!$I83="",U$4=""),"",IF(ACTIVIDADES!$I83=U$4,"●",IF(AND(ACTIVIDADES!$H83&lt;=U$4,ACTIVIDADES!$I83&gt;=U$4),"·","")))</f>
        <v/>
      </c>
      <c r="W83" s="8" t="str">
        <f>IF(OR(ACTIVIDADES!$I83="",V$4=""),"",IF(ACTIVIDADES!$I83=V$4,"●",IF(AND(ACTIVIDADES!$H83&lt;=V$4,ACTIVIDADES!$I83&gt;=V$4),"·","")))</f>
        <v/>
      </c>
      <c r="X83" s="8" t="str">
        <f>IF(OR(ACTIVIDADES!$I83="",W$4=""),"",IF(ACTIVIDADES!$I83=W$4,"●",IF(AND(ACTIVIDADES!$H83&lt;=W$4,ACTIVIDADES!$I83&gt;=W$4),"·","")))</f>
        <v/>
      </c>
      <c r="Y83" s="8" t="str">
        <f>IF(OR(ACTIVIDADES!$I83="",X$4=""),"",IF(ACTIVIDADES!$I83=X$4,"●",IF(AND(ACTIVIDADES!$H83&lt;=X$4,ACTIVIDADES!$I83&gt;=X$4),"·","")))</f>
        <v/>
      </c>
      <c r="Z83" s="8" t="str">
        <f>IF(OR(ACTIVIDADES!$I83="",Y$4=""),"",IF(ACTIVIDADES!$I83=Y$4,"●",IF(AND(ACTIVIDADES!$H83&lt;=Y$4,ACTIVIDADES!$I83&gt;=Y$4),"·","")))</f>
        <v/>
      </c>
      <c r="AA83" s="8" t="str">
        <f>IF(OR(ACTIVIDADES!$I83="",Z$4=""),"",IF(ACTIVIDADES!$I83=Z$4,"●",IF(AND(ACTIVIDADES!$H83&lt;=Z$4,ACTIVIDADES!$I83&gt;=Z$4),"·","")))</f>
        <v/>
      </c>
      <c r="AB83" s="8" t="str">
        <f>IF(OR(ACTIVIDADES!$I83="",AA$4=""),"",IF(ACTIVIDADES!$I83=AA$4,"●",IF(AND(ACTIVIDADES!$H83&lt;=AA$4,ACTIVIDADES!$I83&gt;=AA$4),"·","")))</f>
        <v/>
      </c>
      <c r="AC83" s="8" t="str">
        <f>IF(OR(ACTIVIDADES!$I83="",AB$4=""),"",IF(ACTIVIDADES!$I83=AB$4,"●",IF(AND(ACTIVIDADES!$H83&lt;=AB$4,ACTIVIDADES!$I83&gt;=AB$4),"·","")))</f>
        <v/>
      </c>
      <c r="AD83" s="8" t="str">
        <f>IF(OR(ACTIVIDADES!$I83="",AC$4=""),"",IF(ACTIVIDADES!$I83=AC$4,"●",IF(AND(ACTIVIDADES!$H83&lt;=AC$4,ACTIVIDADES!$I83&gt;=AC$4),"·","")))</f>
        <v/>
      </c>
      <c r="AE83" s="8" t="str">
        <f>IF(OR(ACTIVIDADES!$I83="",AD$4=""),"",IF(ACTIVIDADES!$I83=AD$4,"●",IF(AND(ACTIVIDADES!$H83&lt;=AD$4,ACTIVIDADES!$I83&gt;=AD$4),"·","")))</f>
        <v/>
      </c>
      <c r="AF83" s="8" t="str">
        <f>IF(OR(ACTIVIDADES!$I83="",AE$4=""),"",IF(ACTIVIDADES!$I83=AE$4,"●",IF(AND(ACTIVIDADES!$H83&lt;=AE$4,ACTIVIDADES!$I83&gt;=AE$4),"·","")))</f>
        <v/>
      </c>
      <c r="AG83" s="8" t="str">
        <f>IF(OR(ACTIVIDADES!$I83="",AF$4=""),"",IF(ACTIVIDADES!$I83=AF$4,"●",IF(AND(ACTIVIDADES!$H83&lt;=AF$4,ACTIVIDADES!$I83&gt;=AF$4),"·","")))</f>
        <v/>
      </c>
      <c r="AH83" s="8" t="str">
        <f>IF(OR(ACTIVIDADES!$I83="",AG$4=""),"",IF(ACTIVIDADES!$I83=AG$4,"●",IF(AND(ACTIVIDADES!$H83&lt;=AG$4,ACTIVIDADES!$I83&gt;=AG$4),"·","")))</f>
        <v/>
      </c>
      <c r="AI83" s="8" t="str">
        <f>IF(OR(ACTIVIDADES!$I83="",AH$4=""),"",IF(ACTIVIDADES!$I83=AH$4,"●",IF(AND(ACTIVIDADES!$H83&lt;=AH$4,ACTIVIDADES!$I83&gt;=AH$4),"·","")))</f>
        <v/>
      </c>
      <c r="AJ83" t="str">
        <f>IF(ACTIVIDADES!K83="","",ACTIVIDADES!K83)</f>
        <v>Pendiente</v>
      </c>
    </row>
    <row r="84" spans="1:36">
      <c r="A84" t="str">
        <f>IF(ACTIVIDADES!A84="","",ACTIVIDADES!A84)</f>
        <v>EX.24</v>
      </c>
      <c r="B84" t="str">
        <f>IF(ACTIVIDADES!B84="","",ACTIVIDADES!B84)</f>
        <v/>
      </c>
      <c r="C84" t="str">
        <f>IF(ACTIVIDADES!C84="","",ACTIVIDADES!C84)</f>
        <v>No planificada</v>
      </c>
      <c r="D84" t="str">
        <f>IF(ACTIVIDADES!D84="","",ACTIVIDADES!D84)</f>
        <v/>
      </c>
      <c r="E84" s="8" t="str">
        <f>IF(OR(ACTIVIDADES!$I84="",D$4=""),"",IF(ACTIVIDADES!$I84=D$4,"●",IF(AND(ACTIVIDADES!$H84&lt;=D$4,ACTIVIDADES!$I84&gt;=D$4),"·","")))</f>
        <v/>
      </c>
      <c r="F84" s="8" t="str">
        <f>IF(OR(ACTIVIDADES!$I84="",E$4=""),"",IF(ACTIVIDADES!$I84=E$4,"●",IF(AND(ACTIVIDADES!$H84&lt;=E$4,ACTIVIDADES!$I84&gt;=E$4),"·","")))</f>
        <v/>
      </c>
      <c r="G84" s="8" t="str">
        <f>IF(OR(ACTIVIDADES!$I84="",F$4=""),"",IF(ACTIVIDADES!$I84=F$4,"●",IF(AND(ACTIVIDADES!$H84&lt;=F$4,ACTIVIDADES!$I84&gt;=F$4),"·","")))</f>
        <v/>
      </c>
      <c r="H84" s="8" t="str">
        <f>IF(OR(ACTIVIDADES!$I84="",G$4=""),"",IF(ACTIVIDADES!$I84=G$4,"●",IF(AND(ACTIVIDADES!$H84&lt;=G$4,ACTIVIDADES!$I84&gt;=G$4),"·","")))</f>
        <v/>
      </c>
      <c r="I84" s="8" t="str">
        <f>IF(OR(ACTIVIDADES!$I84="",H$4=""),"",IF(ACTIVIDADES!$I84=H$4,"●",IF(AND(ACTIVIDADES!$H84&lt;=H$4,ACTIVIDADES!$I84&gt;=H$4),"·","")))</f>
        <v/>
      </c>
      <c r="J84" s="8" t="str">
        <f>IF(OR(ACTIVIDADES!$I84="",I$4=""),"",IF(ACTIVIDADES!$I84=I$4,"●",IF(AND(ACTIVIDADES!$H84&lt;=I$4,ACTIVIDADES!$I84&gt;=I$4),"·","")))</f>
        <v/>
      </c>
      <c r="K84" s="8" t="str">
        <f>IF(OR(ACTIVIDADES!$I84="",J$4=""),"",IF(ACTIVIDADES!$I84=J$4,"●",IF(AND(ACTIVIDADES!$H84&lt;=J$4,ACTIVIDADES!$I84&gt;=J$4),"·","")))</f>
        <v/>
      </c>
      <c r="L84" s="8" t="str">
        <f>IF(OR(ACTIVIDADES!$I84="",K$4=""),"",IF(ACTIVIDADES!$I84=K$4,"●",IF(AND(ACTIVIDADES!$H84&lt;=K$4,ACTIVIDADES!$I84&gt;=K$4),"·","")))</f>
        <v/>
      </c>
      <c r="M84" s="8" t="str">
        <f>IF(OR(ACTIVIDADES!$I84="",L$4=""),"",IF(ACTIVIDADES!$I84=L$4,"●",IF(AND(ACTIVIDADES!$H84&lt;=L$4,ACTIVIDADES!$I84&gt;=L$4),"·","")))</f>
        <v/>
      </c>
      <c r="N84" s="8" t="str">
        <f>IF(OR(ACTIVIDADES!$I84="",M$4=""),"",IF(ACTIVIDADES!$I84=M$4,"●",IF(AND(ACTIVIDADES!$H84&lt;=M$4,ACTIVIDADES!$I84&gt;=M$4),"·","")))</f>
        <v/>
      </c>
      <c r="O84" s="8" t="str">
        <f>IF(OR(ACTIVIDADES!$I84="",N$4=""),"",IF(ACTIVIDADES!$I84=N$4,"●",IF(AND(ACTIVIDADES!$H84&lt;=N$4,ACTIVIDADES!$I84&gt;=N$4),"·","")))</f>
        <v/>
      </c>
      <c r="P84" s="8" t="str">
        <f>IF(OR(ACTIVIDADES!$I84="",O$4=""),"",IF(ACTIVIDADES!$I84=O$4,"●",IF(AND(ACTIVIDADES!$H84&lt;=O$4,ACTIVIDADES!$I84&gt;=O$4),"·","")))</f>
        <v/>
      </c>
      <c r="Q84" s="8" t="str">
        <f>IF(OR(ACTIVIDADES!$I84="",P$4=""),"",IF(ACTIVIDADES!$I84=P$4,"●",IF(AND(ACTIVIDADES!$H84&lt;=P$4,ACTIVIDADES!$I84&gt;=P$4),"·","")))</f>
        <v/>
      </c>
      <c r="R84" s="8" t="str">
        <f>IF(OR(ACTIVIDADES!$I84="",Q$4=""),"",IF(ACTIVIDADES!$I84=Q$4,"●",IF(AND(ACTIVIDADES!$H84&lt;=Q$4,ACTIVIDADES!$I84&gt;=Q$4),"·","")))</f>
        <v/>
      </c>
      <c r="S84" s="8" t="str">
        <f>IF(OR(ACTIVIDADES!$I84="",R$4=""),"",IF(ACTIVIDADES!$I84=R$4,"●",IF(AND(ACTIVIDADES!$H84&lt;=R$4,ACTIVIDADES!$I84&gt;=R$4),"·","")))</f>
        <v/>
      </c>
      <c r="T84" s="8" t="str">
        <f>IF(OR(ACTIVIDADES!$I84="",S$4=""),"",IF(ACTIVIDADES!$I84=S$4,"●",IF(AND(ACTIVIDADES!$H84&lt;=S$4,ACTIVIDADES!$I84&gt;=S$4),"·","")))</f>
        <v/>
      </c>
      <c r="U84" s="8" t="str">
        <f>IF(OR(ACTIVIDADES!$I84="",T$4=""),"",IF(ACTIVIDADES!$I84=T$4,"●",IF(AND(ACTIVIDADES!$H84&lt;=T$4,ACTIVIDADES!$I84&gt;=T$4),"·","")))</f>
        <v/>
      </c>
      <c r="V84" s="8" t="str">
        <f>IF(OR(ACTIVIDADES!$I84="",U$4=""),"",IF(ACTIVIDADES!$I84=U$4,"●",IF(AND(ACTIVIDADES!$H84&lt;=U$4,ACTIVIDADES!$I84&gt;=U$4),"·","")))</f>
        <v/>
      </c>
      <c r="W84" s="8" t="str">
        <f>IF(OR(ACTIVIDADES!$I84="",V$4=""),"",IF(ACTIVIDADES!$I84=V$4,"●",IF(AND(ACTIVIDADES!$H84&lt;=V$4,ACTIVIDADES!$I84&gt;=V$4),"·","")))</f>
        <v/>
      </c>
      <c r="X84" s="8" t="str">
        <f>IF(OR(ACTIVIDADES!$I84="",W$4=""),"",IF(ACTIVIDADES!$I84=W$4,"●",IF(AND(ACTIVIDADES!$H84&lt;=W$4,ACTIVIDADES!$I84&gt;=W$4),"·","")))</f>
        <v/>
      </c>
      <c r="Y84" s="8" t="str">
        <f>IF(OR(ACTIVIDADES!$I84="",X$4=""),"",IF(ACTIVIDADES!$I84=X$4,"●",IF(AND(ACTIVIDADES!$H84&lt;=X$4,ACTIVIDADES!$I84&gt;=X$4),"·","")))</f>
        <v/>
      </c>
      <c r="Z84" s="8" t="str">
        <f>IF(OR(ACTIVIDADES!$I84="",Y$4=""),"",IF(ACTIVIDADES!$I84=Y$4,"●",IF(AND(ACTIVIDADES!$H84&lt;=Y$4,ACTIVIDADES!$I84&gt;=Y$4),"·","")))</f>
        <v/>
      </c>
      <c r="AA84" s="8" t="str">
        <f>IF(OR(ACTIVIDADES!$I84="",Z$4=""),"",IF(ACTIVIDADES!$I84=Z$4,"●",IF(AND(ACTIVIDADES!$H84&lt;=Z$4,ACTIVIDADES!$I84&gt;=Z$4),"·","")))</f>
        <v/>
      </c>
      <c r="AB84" s="8" t="str">
        <f>IF(OR(ACTIVIDADES!$I84="",AA$4=""),"",IF(ACTIVIDADES!$I84=AA$4,"●",IF(AND(ACTIVIDADES!$H84&lt;=AA$4,ACTIVIDADES!$I84&gt;=AA$4),"·","")))</f>
        <v/>
      </c>
      <c r="AC84" s="8" t="str">
        <f>IF(OR(ACTIVIDADES!$I84="",AB$4=""),"",IF(ACTIVIDADES!$I84=AB$4,"●",IF(AND(ACTIVIDADES!$H84&lt;=AB$4,ACTIVIDADES!$I84&gt;=AB$4),"·","")))</f>
        <v/>
      </c>
      <c r="AD84" s="8" t="str">
        <f>IF(OR(ACTIVIDADES!$I84="",AC$4=""),"",IF(ACTIVIDADES!$I84=AC$4,"●",IF(AND(ACTIVIDADES!$H84&lt;=AC$4,ACTIVIDADES!$I84&gt;=AC$4),"·","")))</f>
        <v/>
      </c>
      <c r="AE84" s="8" t="str">
        <f>IF(OR(ACTIVIDADES!$I84="",AD$4=""),"",IF(ACTIVIDADES!$I84=AD$4,"●",IF(AND(ACTIVIDADES!$H84&lt;=AD$4,ACTIVIDADES!$I84&gt;=AD$4),"·","")))</f>
        <v/>
      </c>
      <c r="AF84" s="8" t="str">
        <f>IF(OR(ACTIVIDADES!$I84="",AE$4=""),"",IF(ACTIVIDADES!$I84=AE$4,"●",IF(AND(ACTIVIDADES!$H84&lt;=AE$4,ACTIVIDADES!$I84&gt;=AE$4),"·","")))</f>
        <v/>
      </c>
      <c r="AG84" s="8" t="str">
        <f>IF(OR(ACTIVIDADES!$I84="",AF$4=""),"",IF(ACTIVIDADES!$I84=AF$4,"●",IF(AND(ACTIVIDADES!$H84&lt;=AF$4,ACTIVIDADES!$I84&gt;=AF$4),"·","")))</f>
        <v/>
      </c>
      <c r="AH84" s="8" t="str">
        <f>IF(OR(ACTIVIDADES!$I84="",AG$4=""),"",IF(ACTIVIDADES!$I84=AG$4,"●",IF(AND(ACTIVIDADES!$H84&lt;=AG$4,ACTIVIDADES!$I84&gt;=AG$4),"·","")))</f>
        <v/>
      </c>
      <c r="AI84" s="8" t="str">
        <f>IF(OR(ACTIVIDADES!$I84="",AH$4=""),"",IF(ACTIVIDADES!$I84=AH$4,"●",IF(AND(ACTIVIDADES!$H84&lt;=AH$4,ACTIVIDADES!$I84&gt;=AH$4),"·","")))</f>
        <v/>
      </c>
      <c r="AJ84" t="str">
        <f>IF(ACTIVIDADES!K84="","",ACTIVIDADES!K84)</f>
        <v>Pendiente</v>
      </c>
    </row>
  </sheetData>
  <mergeCells count="1">
    <mergeCell ref="A1:A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sqref="A1:J2"/>
    </sheetView>
  </sheetViews>
  <sheetFormatPr baseColWidth="10" defaultColWidth="8.796875" defaultRowHeight="13.8"/>
  <cols>
    <col min="1" max="1" width="30" customWidth="1"/>
    <col min="2" max="2" width="18" customWidth="1"/>
    <col min="3" max="3" width="4" customWidth="1"/>
    <col min="4" max="4" width="28" customWidth="1"/>
    <col min="5" max="5" width="18" customWidth="1"/>
    <col min="6" max="6" width="20" customWidth="1"/>
    <col min="7" max="10" width="15" customWidth="1"/>
  </cols>
  <sheetData>
    <row r="1" spans="1:10" ht="19.2" customHeight="1">
      <c r="A1" s="10" t="s">
        <v>161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9.2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4" spans="1:10" ht="24" customHeight="1">
      <c r="A4" s="3" t="s">
        <v>162</v>
      </c>
      <c r="B4" s="3" t="s">
        <v>163</v>
      </c>
      <c r="D4" s="3" t="s">
        <v>14</v>
      </c>
      <c r="E4" s="3" t="s">
        <v>164</v>
      </c>
      <c r="F4" s="3" t="s">
        <v>55</v>
      </c>
      <c r="G4" s="3" t="s">
        <v>165</v>
      </c>
    </row>
    <row r="5" spans="1:10">
      <c r="A5" t="s">
        <v>166</v>
      </c>
      <c r="B5">
        <f>COUNTA(ACTIVIDADES!A5:A200)</f>
        <v>80</v>
      </c>
      <c r="D5" t="s">
        <v>20</v>
      </c>
      <c r="E5">
        <f>COUNTIFS(ACTIVIDADES!$B$5:$B$200,D5,ACTIVIDADES!$C$5:$C$200,"Informe")</f>
        <v>1</v>
      </c>
      <c r="F5">
        <f>COUNTIFS(ACTIVIDADES!$B$5:$B$200,D5,ACTIVIDADES!$C$5:$C$200,"Abastecimiento")</f>
        <v>1</v>
      </c>
      <c r="G5">
        <f>COUNTIFS(ACTIVIDADES!$B$5:$B$200,D5,ACTIVIDADES!$C$5:$C$200,"Corte")</f>
        <v>5</v>
      </c>
    </row>
    <row r="6" spans="1:10">
      <c r="A6" t="s">
        <v>167</v>
      </c>
      <c r="B6">
        <f>COUNTIF(ACTIVIDADES!K5:K200,"Pendiente")</f>
        <v>59</v>
      </c>
      <c r="D6" t="s">
        <v>24</v>
      </c>
      <c r="E6">
        <f>COUNTIFS(ACTIVIDADES!$B$5:$B$200,D6,ACTIVIDADES!$C$5:$C$200,"Informe")</f>
        <v>1</v>
      </c>
      <c r="F6">
        <f>COUNTIFS(ACTIVIDADES!$B$5:$B$200,D6,ACTIVIDADES!$C$5:$C$200,"Abastecimiento")</f>
        <v>1</v>
      </c>
      <c r="G6">
        <f>COUNTIFS(ACTIVIDADES!$B$5:$B$200,D6,ACTIVIDADES!$C$5:$C$200,"Corte")</f>
        <v>5</v>
      </c>
    </row>
    <row r="7" spans="1:10">
      <c r="A7" t="s">
        <v>168</v>
      </c>
      <c r="B7">
        <f>COUNTIF(ACTIVIDADES!K5:K200,"En proceso")</f>
        <v>0</v>
      </c>
      <c r="D7" t="s">
        <v>26</v>
      </c>
      <c r="E7">
        <f>COUNTIFS(ACTIVIDADES!$B$5:$B$200,D7,ACTIVIDADES!$C$5:$C$200,"Informe")</f>
        <v>1</v>
      </c>
      <c r="F7">
        <f>COUNTIFS(ACTIVIDADES!$B$5:$B$200,D7,ACTIVIDADES!$C$5:$C$200,"Abastecimiento")</f>
        <v>1</v>
      </c>
      <c r="G7">
        <f>COUNTIFS(ACTIVIDADES!$B$5:$B$200,D7,ACTIVIDADES!$C$5:$C$200,"Corte")</f>
        <v>5</v>
      </c>
    </row>
    <row r="8" spans="1:10">
      <c r="A8" t="s">
        <v>169</v>
      </c>
      <c r="B8">
        <f>COUNTIF(ACTIVIDADES!K5:K200,"Cerrado")</f>
        <v>21</v>
      </c>
      <c r="D8" t="s">
        <v>27</v>
      </c>
      <c r="E8">
        <f>COUNTIFS(ACTIVIDADES!$B$5:$B$200,D8,ACTIVIDADES!$C$5:$C$200,"Informe")</f>
        <v>1</v>
      </c>
      <c r="F8">
        <f>COUNTIFS(ACTIVIDADES!$B$5:$B$200,D8,ACTIVIDADES!$C$5:$C$200,"Abastecimiento")</f>
        <v>1</v>
      </c>
      <c r="G8">
        <f>COUNTIFS(ACTIVIDADES!$B$5:$B$200,D8,ACTIVIDADES!$C$5:$C$200,"Corte")</f>
        <v>5</v>
      </c>
    </row>
    <row r="9" spans="1:10">
      <c r="A9" t="s">
        <v>170</v>
      </c>
      <c r="B9">
        <f ca="1">COUNTIF(ACTIVIDADES!O5:O200,"Vencido")</f>
        <v>3</v>
      </c>
      <c r="D9" t="s">
        <v>28</v>
      </c>
      <c r="E9">
        <f>COUNTIFS(ACTIVIDADES!$B$5:$B$200,D9,ACTIVIDADES!$C$5:$C$200,"Informe")</f>
        <v>1</v>
      </c>
      <c r="F9">
        <f>COUNTIFS(ACTIVIDADES!$B$5:$B$200,D9,ACTIVIDADES!$C$5:$C$200,"Abastecimiento")</f>
        <v>1</v>
      </c>
      <c r="G9">
        <f>COUNTIFS(ACTIVIDADES!$B$5:$B$200,D9,ACTIVIDADES!$C$5:$C$200,"Corte")</f>
        <v>5</v>
      </c>
    </row>
    <row r="10" spans="1:10">
      <c r="A10" t="s">
        <v>171</v>
      </c>
      <c r="B10">
        <f ca="1">COUNTIF(ACTIVIDADES!O5:O200,"Próximo")</f>
        <v>0</v>
      </c>
      <c r="D10" t="s">
        <v>29</v>
      </c>
      <c r="E10">
        <f>COUNTIFS(ACTIVIDADES!$B$5:$B$200,D10,ACTIVIDADES!$C$5:$C$200,"Informe")</f>
        <v>1</v>
      </c>
      <c r="F10">
        <f>COUNTIFS(ACTIVIDADES!$B$5:$B$200,D10,ACTIVIDADES!$C$5:$C$200,"Abastecimiento")</f>
        <v>1</v>
      </c>
      <c r="G10">
        <f>COUNTIFS(ACTIVIDADES!$B$5:$B$200,D10,ACTIVIDADES!$C$5:$C$200,"Corte")</f>
        <v>5</v>
      </c>
    </row>
    <row r="11" spans="1:10">
      <c r="A11" t="s">
        <v>172</v>
      </c>
      <c r="B11">
        <f ca="1">COUNTIF(ACTIVIDADES!O5:O200,"Sin fecha")</f>
        <v>28</v>
      </c>
      <c r="D11" t="s">
        <v>30</v>
      </c>
      <c r="E11">
        <f>COUNTIFS(ACTIVIDADES!$B$5:$B$200,D11,ACTIVIDADES!$C$5:$C$200,"Informe")</f>
        <v>1</v>
      </c>
      <c r="F11">
        <f>COUNTIFS(ACTIVIDADES!$B$5:$B$200,D11,ACTIVIDADES!$C$5:$C$200,"Abastecimiento")</f>
        <v>1</v>
      </c>
      <c r="G11">
        <f>COUNTIFS(ACTIVIDADES!$B$5:$B$200,D11,ACTIVIDADES!$C$5:$C$200,"Corte")</f>
        <v>5</v>
      </c>
    </row>
    <row r="12" spans="1:10">
      <c r="D12" t="s">
        <v>31</v>
      </c>
      <c r="E12">
        <f>COUNTIFS(ACTIVIDADES!$B$5:$B$200,D12,ACTIVIDADES!$C$5:$C$200,"Informe")</f>
        <v>1</v>
      </c>
      <c r="F12">
        <f>COUNTIFS(ACTIVIDADES!$B$5:$B$200,D12,ACTIVIDADES!$C$5:$C$200,"Abastecimiento")</f>
        <v>1</v>
      </c>
      <c r="G12">
        <f>COUNTIFS(ACTIVIDADES!$B$5:$B$200,D12,ACTIVIDADES!$C$5:$C$200,"Corte")</f>
        <v>5</v>
      </c>
    </row>
    <row r="14" spans="1:10">
      <c r="A14" s="9" t="s">
        <v>173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>
      <c r="A15" t="s">
        <v>174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CONFIGURACION</vt:lpstr>
      <vt:lpstr>PROYECTOS</vt:lpstr>
      <vt:lpstr>ACTIVIDADES</vt:lpstr>
      <vt:lpstr>EDT</vt:lpstr>
      <vt:lpstr>CALENDARIO</vt:lpstr>
      <vt:lpstr>TABLERO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SIST-ASIST1</cp:lastModifiedBy>
  <dcterms:modified xsi:type="dcterms:W3CDTF">2026-10-14T22:08:16Z</dcterms:modified>
</cp:coreProperties>
</file>